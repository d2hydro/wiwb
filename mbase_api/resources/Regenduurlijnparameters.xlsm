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en\H1232.REGENDUURLIJNEN\02.PYTHON\mbase_api\resources\"/>
    </mc:Choice>
  </mc:AlternateContent>
  <xr:revisionPtr revIDLastSave="0" documentId="13_ncr:1_{15BB6151-CBDF-4716-8894-B4449577079F}" xr6:coauthVersionLast="40" xr6:coauthVersionMax="40" xr10:uidLastSave="{00000000-0000-0000-0000-000000000000}"/>
  <bookViews>
    <workbookView xWindow="0" yWindow="0" windowWidth="23040" windowHeight="9576" xr2:uid="{00000000-000D-0000-FFFF-FFFF00000000}"/>
  </bookViews>
  <sheets>
    <sheet name="LANGE_DUUR" sheetId="1" r:id="rId1"/>
    <sheet name="KORTE_DUUR" sheetId="2" r:id="rId2"/>
    <sheet name="KORTE_DUUR_validatie(kan weg)" sheetId="3" r:id="rId3"/>
  </sheets>
  <functionGroups builtInGroupCount="19"/>
  <definedNames>
    <definedName name="_xlnm._FilterDatabase" localSheetId="0" hidden="1">LANGE_DUUR!$A$1:$J$1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  <c r="S2" i="1" l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2" i="1"/>
  <c r="M2" i="1"/>
  <c r="L2" i="1"/>
  <c r="Q99" i="3"/>
  <c r="J217" i="3"/>
  <c r="H217" i="3"/>
  <c r="F217" i="3"/>
  <c r="G217" i="3" s="1"/>
  <c r="J216" i="3"/>
  <c r="H216" i="3"/>
  <c r="G216" i="3"/>
  <c r="F216" i="3"/>
  <c r="J215" i="3"/>
  <c r="H215" i="3"/>
  <c r="G215" i="3"/>
  <c r="F215" i="3"/>
  <c r="J214" i="3"/>
  <c r="H214" i="3"/>
  <c r="F214" i="3"/>
  <c r="G214" i="3" s="1"/>
  <c r="J213" i="3"/>
  <c r="H213" i="3"/>
  <c r="F213" i="3"/>
  <c r="G213" i="3" s="1"/>
  <c r="J212" i="3"/>
  <c r="H212" i="3"/>
  <c r="G212" i="3"/>
  <c r="F212" i="3"/>
  <c r="J211" i="3"/>
  <c r="H211" i="3"/>
  <c r="G211" i="3"/>
  <c r="F211" i="3"/>
  <c r="J210" i="3"/>
  <c r="H210" i="3"/>
  <c r="F210" i="3"/>
  <c r="G210" i="3" s="1"/>
  <c r="J209" i="3"/>
  <c r="H209" i="3"/>
  <c r="F209" i="3"/>
  <c r="G209" i="3" s="1"/>
  <c r="J208" i="3"/>
  <c r="H208" i="3"/>
  <c r="G208" i="3"/>
  <c r="F208" i="3"/>
  <c r="J207" i="3"/>
  <c r="H207" i="3"/>
  <c r="G207" i="3"/>
  <c r="F207" i="3"/>
  <c r="J206" i="3"/>
  <c r="H206" i="3"/>
  <c r="F206" i="3"/>
  <c r="G206" i="3" s="1"/>
  <c r="J205" i="3"/>
  <c r="H205" i="3"/>
  <c r="F205" i="3"/>
  <c r="G205" i="3" s="1"/>
  <c r="J204" i="3"/>
  <c r="H204" i="3"/>
  <c r="G204" i="3"/>
  <c r="F204" i="3"/>
  <c r="J203" i="3"/>
  <c r="H203" i="3"/>
  <c r="G203" i="3"/>
  <c r="F203" i="3"/>
  <c r="J202" i="3"/>
  <c r="H202" i="3"/>
  <c r="F202" i="3"/>
  <c r="G202" i="3" s="1"/>
  <c r="J201" i="3"/>
  <c r="H201" i="3"/>
  <c r="F201" i="3"/>
  <c r="G201" i="3" s="1"/>
  <c r="J200" i="3"/>
  <c r="H200" i="3"/>
  <c r="G200" i="3"/>
  <c r="F200" i="3"/>
  <c r="J199" i="3"/>
  <c r="H199" i="3"/>
  <c r="G199" i="3"/>
  <c r="F199" i="3"/>
  <c r="J198" i="3"/>
  <c r="H198" i="3"/>
  <c r="F198" i="3"/>
  <c r="G198" i="3" s="1"/>
  <c r="J197" i="3"/>
  <c r="H197" i="3"/>
  <c r="F197" i="3"/>
  <c r="G197" i="3" s="1"/>
  <c r="J196" i="3"/>
  <c r="H196" i="3"/>
  <c r="F196" i="3"/>
  <c r="G196" i="3" s="1"/>
  <c r="J195" i="3"/>
  <c r="H195" i="3"/>
  <c r="G195" i="3"/>
  <c r="F195" i="3"/>
  <c r="J194" i="3"/>
  <c r="H194" i="3"/>
  <c r="F194" i="3"/>
  <c r="G194" i="3" s="1"/>
  <c r="J193" i="3"/>
  <c r="H193" i="3"/>
  <c r="F193" i="3"/>
  <c r="G193" i="3" s="1"/>
  <c r="J192" i="3"/>
  <c r="H192" i="3"/>
  <c r="F192" i="3"/>
  <c r="G192" i="3" s="1"/>
  <c r="J191" i="3"/>
  <c r="H191" i="3"/>
  <c r="G191" i="3"/>
  <c r="F191" i="3"/>
  <c r="J190" i="3"/>
  <c r="H190" i="3"/>
  <c r="F190" i="3"/>
  <c r="G190" i="3" s="1"/>
  <c r="J189" i="3"/>
  <c r="H189" i="3"/>
  <c r="F189" i="3"/>
  <c r="G189" i="3" s="1"/>
  <c r="J188" i="3"/>
  <c r="H188" i="3"/>
  <c r="F188" i="3"/>
  <c r="G188" i="3" s="1"/>
  <c r="J187" i="3"/>
  <c r="H187" i="3"/>
  <c r="G187" i="3"/>
  <c r="F187" i="3"/>
  <c r="J186" i="3"/>
  <c r="H186" i="3"/>
  <c r="F186" i="3"/>
  <c r="G186" i="3" s="1"/>
  <c r="J185" i="3"/>
  <c r="H185" i="3"/>
  <c r="F185" i="3"/>
  <c r="G185" i="3" s="1"/>
  <c r="J184" i="3"/>
  <c r="H184" i="3"/>
  <c r="F184" i="3"/>
  <c r="G184" i="3" s="1"/>
  <c r="J183" i="3"/>
  <c r="H183" i="3"/>
  <c r="G183" i="3"/>
  <c r="F183" i="3"/>
  <c r="J182" i="3"/>
  <c r="H182" i="3"/>
  <c r="F182" i="3"/>
  <c r="G182" i="3" s="1"/>
  <c r="J181" i="3"/>
  <c r="H181" i="3"/>
  <c r="F181" i="3"/>
  <c r="G181" i="3" s="1"/>
  <c r="J180" i="3"/>
  <c r="H180" i="3"/>
  <c r="F180" i="3"/>
  <c r="G180" i="3" s="1"/>
  <c r="J179" i="3"/>
  <c r="H179" i="3"/>
  <c r="G179" i="3"/>
  <c r="F179" i="3"/>
  <c r="J178" i="3"/>
  <c r="H178" i="3"/>
  <c r="F178" i="3"/>
  <c r="G178" i="3" s="1"/>
  <c r="J177" i="3"/>
  <c r="H177" i="3"/>
  <c r="F177" i="3"/>
  <c r="G177" i="3" s="1"/>
  <c r="J176" i="3"/>
  <c r="H176" i="3"/>
  <c r="F176" i="3"/>
  <c r="G176" i="3" s="1"/>
  <c r="J175" i="3"/>
  <c r="H175" i="3"/>
  <c r="G175" i="3"/>
  <c r="F175" i="3"/>
  <c r="J174" i="3"/>
  <c r="H174" i="3"/>
  <c r="F174" i="3"/>
  <c r="G174" i="3" s="1"/>
  <c r="J173" i="3"/>
  <c r="H173" i="3"/>
  <c r="F173" i="3"/>
  <c r="G173" i="3" s="1"/>
  <c r="J172" i="3"/>
  <c r="H172" i="3"/>
  <c r="F172" i="3"/>
  <c r="G172" i="3" s="1"/>
  <c r="J171" i="3"/>
  <c r="H171" i="3"/>
  <c r="G171" i="3"/>
  <c r="F171" i="3"/>
  <c r="J170" i="3"/>
  <c r="H170" i="3"/>
  <c r="F170" i="3"/>
  <c r="G170" i="3" s="1"/>
  <c r="J169" i="3"/>
  <c r="H169" i="3"/>
  <c r="F169" i="3"/>
  <c r="G169" i="3" s="1"/>
  <c r="J168" i="3"/>
  <c r="H168" i="3"/>
  <c r="F168" i="3"/>
  <c r="G168" i="3" s="1"/>
  <c r="J167" i="3"/>
  <c r="H167" i="3"/>
  <c r="F167" i="3"/>
  <c r="G167" i="3" s="1"/>
  <c r="J166" i="3"/>
  <c r="H166" i="3"/>
  <c r="F166" i="3"/>
  <c r="G166" i="3" s="1"/>
  <c r="J165" i="3"/>
  <c r="H165" i="3"/>
  <c r="F165" i="3"/>
  <c r="G165" i="3" s="1"/>
  <c r="J164" i="3"/>
  <c r="H164" i="3"/>
  <c r="F164" i="3"/>
  <c r="G164" i="3" s="1"/>
  <c r="J163" i="3"/>
  <c r="H163" i="3"/>
  <c r="F163" i="3"/>
  <c r="G163" i="3" s="1"/>
  <c r="J162" i="3"/>
  <c r="H162" i="3"/>
  <c r="F162" i="3"/>
  <c r="G162" i="3" s="1"/>
  <c r="J161" i="3"/>
  <c r="H161" i="3"/>
  <c r="F161" i="3"/>
  <c r="G161" i="3" s="1"/>
  <c r="J160" i="3"/>
  <c r="H160" i="3"/>
  <c r="F160" i="3"/>
  <c r="G160" i="3" s="1"/>
  <c r="J159" i="3"/>
  <c r="H159" i="3"/>
  <c r="F159" i="3"/>
  <c r="G159" i="3" s="1"/>
  <c r="J158" i="3"/>
  <c r="H158" i="3"/>
  <c r="F158" i="3"/>
  <c r="G158" i="3" s="1"/>
  <c r="J157" i="3"/>
  <c r="H157" i="3"/>
  <c r="F157" i="3"/>
  <c r="G157" i="3" s="1"/>
  <c r="J156" i="3"/>
  <c r="H156" i="3"/>
  <c r="F156" i="3"/>
  <c r="G156" i="3" s="1"/>
  <c r="J155" i="3"/>
  <c r="H155" i="3"/>
  <c r="F155" i="3"/>
  <c r="G155" i="3" s="1"/>
  <c r="J154" i="3"/>
  <c r="H154" i="3"/>
  <c r="F154" i="3"/>
  <c r="G154" i="3" s="1"/>
  <c r="J153" i="3"/>
  <c r="H153" i="3"/>
  <c r="F153" i="3"/>
  <c r="G153" i="3" s="1"/>
  <c r="J152" i="3"/>
  <c r="H152" i="3"/>
  <c r="F152" i="3"/>
  <c r="G152" i="3" s="1"/>
  <c r="J151" i="3"/>
  <c r="H151" i="3"/>
  <c r="F151" i="3"/>
  <c r="G151" i="3" s="1"/>
  <c r="J150" i="3"/>
  <c r="H150" i="3"/>
  <c r="F150" i="3"/>
  <c r="G150" i="3" s="1"/>
  <c r="J149" i="3"/>
  <c r="H149" i="3"/>
  <c r="F149" i="3"/>
  <c r="G149" i="3" s="1"/>
  <c r="J148" i="3"/>
  <c r="H148" i="3"/>
  <c r="F148" i="3"/>
  <c r="G148" i="3" s="1"/>
  <c r="J147" i="3"/>
  <c r="H147" i="3"/>
  <c r="F147" i="3"/>
  <c r="G147" i="3" s="1"/>
  <c r="J146" i="3"/>
  <c r="H146" i="3"/>
  <c r="F146" i="3"/>
  <c r="G146" i="3" s="1"/>
  <c r="J145" i="3"/>
  <c r="H145" i="3"/>
  <c r="F145" i="3"/>
  <c r="G145" i="3" s="1"/>
  <c r="J144" i="3"/>
  <c r="H144" i="3"/>
  <c r="F144" i="3"/>
  <c r="G144" i="3" s="1"/>
  <c r="J143" i="3"/>
  <c r="H143" i="3"/>
  <c r="F143" i="3"/>
  <c r="G143" i="3" s="1"/>
  <c r="J142" i="3"/>
  <c r="H142" i="3"/>
  <c r="F142" i="3"/>
  <c r="G142" i="3" s="1"/>
  <c r="J141" i="3"/>
  <c r="H141" i="3"/>
  <c r="F141" i="3"/>
  <c r="G141" i="3" s="1"/>
  <c r="J140" i="3"/>
  <c r="H140" i="3"/>
  <c r="F140" i="3"/>
  <c r="G140" i="3" s="1"/>
  <c r="J139" i="3"/>
  <c r="H139" i="3"/>
  <c r="G139" i="3"/>
  <c r="F139" i="3"/>
  <c r="J138" i="3"/>
  <c r="H138" i="3"/>
  <c r="F138" i="3"/>
  <c r="G138" i="3" s="1"/>
  <c r="J137" i="3"/>
  <c r="H137" i="3"/>
  <c r="F137" i="3"/>
  <c r="G137" i="3" s="1"/>
  <c r="J136" i="3"/>
  <c r="H136" i="3"/>
  <c r="F136" i="3"/>
  <c r="G136" i="3" s="1"/>
  <c r="J135" i="3"/>
  <c r="H135" i="3"/>
  <c r="F135" i="3"/>
  <c r="G135" i="3" s="1"/>
  <c r="J134" i="3"/>
  <c r="H134" i="3"/>
  <c r="F134" i="3"/>
  <c r="G134" i="3" s="1"/>
  <c r="J133" i="3"/>
  <c r="H133" i="3"/>
  <c r="F133" i="3"/>
  <c r="G133" i="3" s="1"/>
  <c r="J132" i="3"/>
  <c r="H132" i="3"/>
  <c r="F132" i="3"/>
  <c r="G132" i="3" s="1"/>
  <c r="J131" i="3"/>
  <c r="H131" i="3"/>
  <c r="F131" i="3"/>
  <c r="G131" i="3" s="1"/>
  <c r="J130" i="3"/>
  <c r="H130" i="3"/>
  <c r="F130" i="3"/>
  <c r="G130" i="3" s="1"/>
  <c r="J129" i="3"/>
  <c r="H129" i="3"/>
  <c r="F129" i="3"/>
  <c r="G129" i="3" s="1"/>
  <c r="J128" i="3"/>
  <c r="H128" i="3"/>
  <c r="F128" i="3"/>
  <c r="G128" i="3" s="1"/>
  <c r="J127" i="3"/>
  <c r="H127" i="3"/>
  <c r="F127" i="3"/>
  <c r="G127" i="3" s="1"/>
  <c r="J126" i="3"/>
  <c r="H126" i="3"/>
  <c r="F126" i="3"/>
  <c r="G126" i="3" s="1"/>
  <c r="J125" i="3"/>
  <c r="H125" i="3"/>
  <c r="F125" i="3"/>
  <c r="G125" i="3" s="1"/>
  <c r="J124" i="3"/>
  <c r="H124" i="3"/>
  <c r="F124" i="3"/>
  <c r="G124" i="3" s="1"/>
  <c r="J123" i="3"/>
  <c r="H123" i="3"/>
  <c r="G123" i="3"/>
  <c r="F123" i="3"/>
  <c r="J122" i="3"/>
  <c r="H122" i="3"/>
  <c r="F122" i="3"/>
  <c r="G122" i="3" s="1"/>
  <c r="J121" i="3"/>
  <c r="H121" i="3"/>
  <c r="F121" i="3"/>
  <c r="G121" i="3" s="1"/>
  <c r="J120" i="3"/>
  <c r="H120" i="3"/>
  <c r="F120" i="3"/>
  <c r="G120" i="3" s="1"/>
  <c r="J119" i="3"/>
  <c r="H119" i="3"/>
  <c r="F119" i="3"/>
  <c r="G119" i="3" s="1"/>
  <c r="J118" i="3"/>
  <c r="H118" i="3"/>
  <c r="F118" i="3"/>
  <c r="G118" i="3" s="1"/>
  <c r="J117" i="3"/>
  <c r="H117" i="3"/>
  <c r="F117" i="3"/>
  <c r="G117" i="3" s="1"/>
  <c r="J116" i="3"/>
  <c r="H116" i="3"/>
  <c r="F116" i="3"/>
  <c r="G116" i="3" s="1"/>
  <c r="J115" i="3"/>
  <c r="H115" i="3"/>
  <c r="F115" i="3"/>
  <c r="G115" i="3" s="1"/>
  <c r="J114" i="3"/>
  <c r="H114" i="3"/>
  <c r="F114" i="3"/>
  <c r="G114" i="3" s="1"/>
  <c r="J113" i="3"/>
  <c r="H113" i="3"/>
  <c r="F113" i="3"/>
  <c r="G113" i="3" s="1"/>
  <c r="E113" i="3"/>
  <c r="J112" i="3"/>
  <c r="E112" i="3"/>
  <c r="J111" i="3"/>
  <c r="H111" i="3"/>
  <c r="F111" i="3"/>
  <c r="G111" i="3" s="1"/>
  <c r="E111" i="3"/>
  <c r="J110" i="3"/>
  <c r="H110" i="3"/>
  <c r="G110" i="3"/>
  <c r="E110" i="3"/>
  <c r="F110" i="3" s="1"/>
  <c r="J109" i="3"/>
  <c r="H109" i="3"/>
  <c r="F109" i="3"/>
  <c r="G109" i="3" s="1"/>
  <c r="E109" i="3"/>
  <c r="J108" i="3"/>
  <c r="G108" i="3"/>
  <c r="F108" i="3"/>
  <c r="E108" i="3"/>
  <c r="H108" i="3" s="1"/>
  <c r="J107" i="3"/>
  <c r="H107" i="3"/>
  <c r="F107" i="3"/>
  <c r="E107" i="3"/>
  <c r="J106" i="3"/>
  <c r="E106" i="3"/>
  <c r="J105" i="3"/>
  <c r="H105" i="3"/>
  <c r="F105" i="3"/>
  <c r="G105" i="3" s="1"/>
  <c r="E105" i="3"/>
  <c r="J104" i="3"/>
  <c r="E104" i="3"/>
  <c r="J103" i="3"/>
  <c r="H103" i="3"/>
  <c r="F103" i="3"/>
  <c r="G103" i="3" s="1"/>
  <c r="E103" i="3"/>
  <c r="J102" i="3"/>
  <c r="H102" i="3"/>
  <c r="F102" i="3"/>
  <c r="E102" i="3"/>
  <c r="G102" i="3" s="1"/>
  <c r="J101" i="3"/>
  <c r="H101" i="3"/>
  <c r="F101" i="3"/>
  <c r="G101" i="3" s="1"/>
  <c r="E101" i="3"/>
  <c r="J100" i="3"/>
  <c r="E100" i="3"/>
  <c r="H100" i="3" s="1"/>
  <c r="J99" i="3"/>
  <c r="H99" i="3"/>
  <c r="F99" i="3"/>
  <c r="G99" i="3" s="1"/>
  <c r="J98" i="3"/>
  <c r="H98" i="3"/>
  <c r="F98" i="3"/>
  <c r="G98" i="3" s="1"/>
  <c r="J97" i="3"/>
  <c r="H97" i="3"/>
  <c r="G97" i="3"/>
  <c r="F97" i="3"/>
  <c r="J96" i="3"/>
  <c r="H96" i="3"/>
  <c r="F96" i="3"/>
  <c r="G96" i="3" s="1"/>
  <c r="J95" i="3"/>
  <c r="H95" i="3"/>
  <c r="F95" i="3"/>
  <c r="G95" i="3" s="1"/>
  <c r="J94" i="3"/>
  <c r="H94" i="3"/>
  <c r="F94" i="3"/>
  <c r="G94" i="3" s="1"/>
  <c r="J93" i="3"/>
  <c r="H93" i="3"/>
  <c r="G93" i="3"/>
  <c r="F93" i="3"/>
  <c r="J92" i="3"/>
  <c r="H92" i="3"/>
  <c r="F92" i="3"/>
  <c r="G92" i="3" s="1"/>
  <c r="J91" i="3"/>
  <c r="H91" i="3"/>
  <c r="F91" i="3"/>
  <c r="G91" i="3" s="1"/>
  <c r="J90" i="3"/>
  <c r="H90" i="3"/>
  <c r="F90" i="3"/>
  <c r="G90" i="3" s="1"/>
  <c r="J89" i="3"/>
  <c r="H89" i="3"/>
  <c r="G89" i="3"/>
  <c r="F89" i="3"/>
  <c r="J88" i="3"/>
  <c r="H88" i="3"/>
  <c r="F88" i="3"/>
  <c r="G88" i="3" s="1"/>
  <c r="J87" i="3"/>
  <c r="H87" i="3"/>
  <c r="F87" i="3"/>
  <c r="G87" i="3" s="1"/>
  <c r="J86" i="3"/>
  <c r="H86" i="3"/>
  <c r="F86" i="3"/>
  <c r="G86" i="3" s="1"/>
  <c r="J85" i="3"/>
  <c r="H85" i="3"/>
  <c r="G85" i="3"/>
  <c r="F85" i="3"/>
  <c r="J84" i="3"/>
  <c r="H84" i="3"/>
  <c r="F84" i="3"/>
  <c r="G84" i="3" s="1"/>
  <c r="J83" i="3"/>
  <c r="H83" i="3"/>
  <c r="F83" i="3"/>
  <c r="G83" i="3" s="1"/>
  <c r="J82" i="3"/>
  <c r="H82" i="3"/>
  <c r="F82" i="3"/>
  <c r="G82" i="3" s="1"/>
  <c r="J81" i="3"/>
  <c r="H81" i="3"/>
  <c r="G81" i="3"/>
  <c r="F81" i="3"/>
  <c r="J80" i="3"/>
  <c r="H80" i="3"/>
  <c r="F80" i="3"/>
  <c r="G80" i="3" s="1"/>
  <c r="J79" i="3"/>
  <c r="H79" i="3"/>
  <c r="F79" i="3"/>
  <c r="G79" i="3" s="1"/>
  <c r="J78" i="3"/>
  <c r="H78" i="3"/>
  <c r="F78" i="3"/>
  <c r="G78" i="3" s="1"/>
  <c r="J77" i="3"/>
  <c r="H77" i="3"/>
  <c r="G77" i="3"/>
  <c r="F77" i="3"/>
  <c r="J76" i="3"/>
  <c r="H76" i="3"/>
  <c r="F76" i="3"/>
  <c r="G76" i="3" s="1"/>
  <c r="J75" i="3"/>
  <c r="H75" i="3"/>
  <c r="F75" i="3"/>
  <c r="G75" i="3" s="1"/>
  <c r="J74" i="3"/>
  <c r="H74" i="3"/>
  <c r="F74" i="3"/>
  <c r="G74" i="3" s="1"/>
  <c r="J73" i="3"/>
  <c r="H73" i="3"/>
  <c r="G73" i="3"/>
  <c r="F73" i="3"/>
  <c r="J72" i="3"/>
  <c r="H72" i="3"/>
  <c r="F72" i="3"/>
  <c r="G72" i="3" s="1"/>
  <c r="J71" i="3"/>
  <c r="H71" i="3"/>
  <c r="F71" i="3"/>
  <c r="G71" i="3" s="1"/>
  <c r="J70" i="3"/>
  <c r="H70" i="3"/>
  <c r="F70" i="3"/>
  <c r="G70" i="3" s="1"/>
  <c r="J69" i="3"/>
  <c r="H69" i="3"/>
  <c r="G69" i="3"/>
  <c r="F69" i="3"/>
  <c r="J68" i="3"/>
  <c r="H68" i="3"/>
  <c r="F68" i="3"/>
  <c r="G68" i="3" s="1"/>
  <c r="J67" i="3"/>
  <c r="H67" i="3"/>
  <c r="F67" i="3"/>
  <c r="G67" i="3" s="1"/>
  <c r="J66" i="3"/>
  <c r="H66" i="3"/>
  <c r="F66" i="3"/>
  <c r="G66" i="3" s="1"/>
  <c r="J65" i="3"/>
  <c r="H65" i="3"/>
  <c r="G65" i="3"/>
  <c r="F65" i="3"/>
  <c r="J64" i="3"/>
  <c r="H64" i="3"/>
  <c r="F64" i="3"/>
  <c r="G64" i="3" s="1"/>
  <c r="J63" i="3"/>
  <c r="H63" i="3"/>
  <c r="F63" i="3"/>
  <c r="G63" i="3" s="1"/>
  <c r="J62" i="3"/>
  <c r="H62" i="3"/>
  <c r="F62" i="3"/>
  <c r="G62" i="3" s="1"/>
  <c r="J61" i="3"/>
  <c r="H61" i="3"/>
  <c r="G61" i="3"/>
  <c r="F61" i="3"/>
  <c r="J60" i="3"/>
  <c r="H60" i="3"/>
  <c r="F60" i="3"/>
  <c r="G60" i="3" s="1"/>
  <c r="J59" i="3"/>
  <c r="H59" i="3"/>
  <c r="F59" i="3"/>
  <c r="G59" i="3" s="1"/>
  <c r="J58" i="3"/>
  <c r="H58" i="3"/>
  <c r="G58" i="3"/>
  <c r="F58" i="3"/>
  <c r="J57" i="3"/>
  <c r="H57" i="3"/>
  <c r="F57" i="3"/>
  <c r="G57" i="3" s="1"/>
  <c r="J56" i="3"/>
  <c r="H56" i="3"/>
  <c r="G56" i="3"/>
  <c r="F56" i="3"/>
  <c r="J55" i="3"/>
  <c r="H55" i="3"/>
  <c r="F55" i="3"/>
  <c r="G55" i="3" s="1"/>
  <c r="J54" i="3"/>
  <c r="H54" i="3"/>
  <c r="G54" i="3"/>
  <c r="F54" i="3"/>
  <c r="J53" i="3"/>
  <c r="H53" i="3"/>
  <c r="G53" i="3"/>
  <c r="F53" i="3"/>
  <c r="J52" i="3"/>
  <c r="H52" i="3"/>
  <c r="F52" i="3"/>
  <c r="G52" i="3" s="1"/>
  <c r="J51" i="3"/>
  <c r="H51" i="3"/>
  <c r="F51" i="3"/>
  <c r="G51" i="3" s="1"/>
  <c r="J50" i="3"/>
  <c r="H50" i="3"/>
  <c r="G50" i="3"/>
  <c r="F50" i="3"/>
  <c r="J49" i="3"/>
  <c r="H49" i="3"/>
  <c r="F49" i="3"/>
  <c r="G49" i="3" s="1"/>
  <c r="J48" i="3"/>
  <c r="H48" i="3"/>
  <c r="F48" i="3"/>
  <c r="G48" i="3" s="1"/>
  <c r="J47" i="3"/>
  <c r="H47" i="3"/>
  <c r="F47" i="3"/>
  <c r="G47" i="3" s="1"/>
  <c r="J46" i="3"/>
  <c r="H46" i="3"/>
  <c r="G46" i="3"/>
  <c r="F46" i="3"/>
  <c r="J45" i="3"/>
  <c r="H45" i="3"/>
  <c r="F45" i="3"/>
  <c r="G45" i="3" s="1"/>
  <c r="J44" i="3"/>
  <c r="H44" i="3"/>
  <c r="F44" i="3"/>
  <c r="G44" i="3" s="1"/>
  <c r="J43" i="3"/>
  <c r="H43" i="3"/>
  <c r="F43" i="3"/>
  <c r="G43" i="3" s="1"/>
  <c r="J42" i="3"/>
  <c r="H42" i="3"/>
  <c r="G42" i="3"/>
  <c r="F42" i="3"/>
  <c r="J41" i="3"/>
  <c r="H41" i="3"/>
  <c r="F41" i="3"/>
  <c r="G41" i="3" s="1"/>
  <c r="J40" i="3"/>
  <c r="H40" i="3"/>
  <c r="F40" i="3"/>
  <c r="G40" i="3" s="1"/>
  <c r="J39" i="3"/>
  <c r="H39" i="3"/>
  <c r="F39" i="3"/>
  <c r="G39" i="3" s="1"/>
  <c r="J38" i="3"/>
  <c r="H38" i="3"/>
  <c r="G38" i="3"/>
  <c r="F38" i="3"/>
  <c r="J37" i="3"/>
  <c r="H37" i="3"/>
  <c r="F37" i="3"/>
  <c r="G37" i="3" s="1"/>
  <c r="J36" i="3"/>
  <c r="H36" i="3"/>
  <c r="F36" i="3"/>
  <c r="G36" i="3" s="1"/>
  <c r="J35" i="3"/>
  <c r="H35" i="3"/>
  <c r="F35" i="3"/>
  <c r="G35" i="3" s="1"/>
  <c r="J34" i="3"/>
  <c r="H34" i="3"/>
  <c r="G34" i="3"/>
  <c r="F34" i="3"/>
  <c r="J33" i="3"/>
  <c r="H33" i="3"/>
  <c r="F33" i="3"/>
  <c r="G33" i="3" s="1"/>
  <c r="J32" i="3"/>
  <c r="H32" i="3"/>
  <c r="F32" i="3"/>
  <c r="G32" i="3" s="1"/>
  <c r="J31" i="3"/>
  <c r="H31" i="3"/>
  <c r="F31" i="3"/>
  <c r="G31" i="3" s="1"/>
  <c r="J30" i="3"/>
  <c r="H30" i="3"/>
  <c r="G30" i="3"/>
  <c r="F30" i="3"/>
  <c r="J29" i="3"/>
  <c r="H29" i="3"/>
  <c r="F29" i="3"/>
  <c r="G29" i="3" s="1"/>
  <c r="J28" i="3"/>
  <c r="H28" i="3"/>
  <c r="F28" i="3"/>
  <c r="G28" i="3" s="1"/>
  <c r="J27" i="3"/>
  <c r="H27" i="3"/>
  <c r="F27" i="3"/>
  <c r="G27" i="3" s="1"/>
  <c r="J26" i="3"/>
  <c r="H26" i="3"/>
  <c r="G26" i="3"/>
  <c r="F26" i="3"/>
  <c r="J25" i="3"/>
  <c r="H25" i="3"/>
  <c r="F25" i="3"/>
  <c r="G25" i="3" s="1"/>
  <c r="J24" i="3"/>
  <c r="H24" i="3"/>
  <c r="F24" i="3"/>
  <c r="G24" i="3" s="1"/>
  <c r="J23" i="3"/>
  <c r="H23" i="3"/>
  <c r="F23" i="3"/>
  <c r="G23" i="3" s="1"/>
  <c r="J22" i="3"/>
  <c r="H22" i="3"/>
  <c r="G22" i="3"/>
  <c r="F22" i="3"/>
  <c r="J21" i="3"/>
  <c r="H21" i="3"/>
  <c r="F21" i="3"/>
  <c r="G21" i="3" s="1"/>
  <c r="J20" i="3"/>
  <c r="H20" i="3"/>
  <c r="F20" i="3"/>
  <c r="G20" i="3" s="1"/>
  <c r="J19" i="3"/>
  <c r="H19" i="3"/>
  <c r="F19" i="3"/>
  <c r="G19" i="3" s="1"/>
  <c r="J18" i="3"/>
  <c r="H18" i="3"/>
  <c r="G18" i="3"/>
  <c r="F18" i="3"/>
  <c r="J17" i="3"/>
  <c r="H17" i="3"/>
  <c r="F17" i="3"/>
  <c r="G17" i="3" s="1"/>
  <c r="J16" i="3"/>
  <c r="H16" i="3"/>
  <c r="F16" i="3"/>
  <c r="G16" i="3" s="1"/>
  <c r="J15" i="3"/>
  <c r="H15" i="3"/>
  <c r="F15" i="3"/>
  <c r="G15" i="3" s="1"/>
  <c r="J14" i="3"/>
  <c r="H14" i="3"/>
  <c r="G14" i="3"/>
  <c r="F14" i="3"/>
  <c r="J13" i="3"/>
  <c r="H13" i="3"/>
  <c r="F13" i="3"/>
  <c r="G13" i="3" s="1"/>
  <c r="J12" i="3"/>
  <c r="H12" i="3"/>
  <c r="F12" i="3"/>
  <c r="G12" i="3" s="1"/>
  <c r="J11" i="3"/>
  <c r="H11" i="3"/>
  <c r="F11" i="3"/>
  <c r="G11" i="3" s="1"/>
  <c r="J10" i="3"/>
  <c r="H10" i="3"/>
  <c r="G10" i="3"/>
  <c r="F10" i="3"/>
  <c r="J9" i="3"/>
  <c r="H9" i="3"/>
  <c r="F9" i="3"/>
  <c r="G9" i="3" s="1"/>
  <c r="J8" i="3"/>
  <c r="H8" i="3"/>
  <c r="F8" i="3"/>
  <c r="G8" i="3" s="1"/>
  <c r="J7" i="3"/>
  <c r="H7" i="3"/>
  <c r="F7" i="3"/>
  <c r="G7" i="3" s="1"/>
  <c r="J6" i="3"/>
  <c r="H6" i="3"/>
  <c r="F6" i="3"/>
  <c r="G6" i="3" s="1"/>
  <c r="J5" i="3"/>
  <c r="H5" i="3"/>
  <c r="F5" i="3"/>
  <c r="G5" i="3" s="1"/>
  <c r="J4" i="3"/>
  <c r="H4" i="3"/>
  <c r="G4" i="3"/>
  <c r="F4" i="3"/>
  <c r="J3" i="3"/>
  <c r="H3" i="3"/>
  <c r="G3" i="3"/>
  <c r="F3" i="3"/>
  <c r="J2" i="3"/>
  <c r="R6" i="3" s="1"/>
  <c r="H2" i="3"/>
  <c r="Q6" i="3" s="1"/>
  <c r="F2" i="3"/>
  <c r="G2" i="3" s="1"/>
  <c r="K217" i="3"/>
  <c r="K213" i="3"/>
  <c r="K209" i="3"/>
  <c r="K205" i="3"/>
  <c r="K201" i="3"/>
  <c r="K197" i="3"/>
  <c r="K193" i="3"/>
  <c r="K189" i="3"/>
  <c r="K185" i="3"/>
  <c r="K181" i="3"/>
  <c r="K177" i="3"/>
  <c r="K173" i="3"/>
  <c r="K169" i="3"/>
  <c r="K214" i="3"/>
  <c r="K210" i="3"/>
  <c r="K206" i="3"/>
  <c r="K202" i="3"/>
  <c r="K198" i="3"/>
  <c r="K194" i="3"/>
  <c r="K190" i="3"/>
  <c r="K186" i="3"/>
  <c r="K182" i="3"/>
  <c r="K178" i="3"/>
  <c r="K174" i="3"/>
  <c r="K170" i="3"/>
  <c r="K166" i="3"/>
  <c r="K162" i="3"/>
  <c r="K158" i="3"/>
  <c r="K154" i="3"/>
  <c r="K108" i="3"/>
  <c r="K215" i="3"/>
  <c r="K211" i="3"/>
  <c r="K207" i="3"/>
  <c r="K203" i="3"/>
  <c r="K199" i="3"/>
  <c r="K195" i="3"/>
  <c r="K191" i="3"/>
  <c r="K187" i="3"/>
  <c r="K183" i="3"/>
  <c r="K179" i="3"/>
  <c r="K175" i="3"/>
  <c r="K171" i="3"/>
  <c r="K167" i="3"/>
  <c r="K163" i="3"/>
  <c r="K110" i="3"/>
  <c r="K102" i="3"/>
  <c r="K216" i="3"/>
  <c r="K212" i="3"/>
  <c r="K208" i="3"/>
  <c r="K204" i="3"/>
  <c r="K200" i="3"/>
  <c r="K196" i="3"/>
  <c r="K192" i="3"/>
  <c r="K188" i="3"/>
  <c r="K184" i="3"/>
  <c r="K180" i="3"/>
  <c r="K176" i="3"/>
  <c r="K172" i="3"/>
  <c r="K168" i="3"/>
  <c r="K164" i="3"/>
  <c r="K160" i="3"/>
  <c r="K156" i="3"/>
  <c r="K150" i="3"/>
  <c r="K134" i="3"/>
  <c r="K118" i="3"/>
  <c r="K105" i="3"/>
  <c r="K59" i="3"/>
  <c r="K46" i="3"/>
  <c r="K38" i="3"/>
  <c r="K34" i="3"/>
  <c r="K26" i="3"/>
  <c r="K148" i="3"/>
  <c r="K141" i="3"/>
  <c r="K139" i="3"/>
  <c r="K132" i="3"/>
  <c r="K125" i="3"/>
  <c r="K123" i="3"/>
  <c r="K116" i="3"/>
  <c r="K111" i="3"/>
  <c r="K99" i="3"/>
  <c r="K91" i="3"/>
  <c r="K83" i="3"/>
  <c r="K75" i="3"/>
  <c r="K67" i="3"/>
  <c r="K56" i="3"/>
  <c r="K53" i="3"/>
  <c r="K42" i="3"/>
  <c r="K30" i="3"/>
  <c r="K10" i="3"/>
  <c r="K159" i="3"/>
  <c r="K155" i="3"/>
  <c r="K146" i="3"/>
  <c r="K130" i="3"/>
  <c r="K114" i="3"/>
  <c r="K103" i="3"/>
  <c r="K97" i="3"/>
  <c r="K94" i="3"/>
  <c r="K89" i="3"/>
  <c r="K86" i="3"/>
  <c r="K81" i="3"/>
  <c r="K78" i="3"/>
  <c r="K73" i="3"/>
  <c r="K70" i="3"/>
  <c r="K65" i="3"/>
  <c r="K62" i="3"/>
  <c r="K50" i="3"/>
  <c r="K4" i="3"/>
  <c r="K109" i="3"/>
  <c r="K76" i="3"/>
  <c r="K47" i="3"/>
  <c r="K43" i="3"/>
  <c r="K39" i="3"/>
  <c r="K31" i="3"/>
  <c r="K23" i="3"/>
  <c r="K15" i="3"/>
  <c r="K11" i="3"/>
  <c r="K5" i="3"/>
  <c r="K21" i="3"/>
  <c r="K13" i="3"/>
  <c r="K18" i="3"/>
  <c r="K161" i="3"/>
  <c r="K157" i="3"/>
  <c r="K153" i="3"/>
  <c r="K151" i="3"/>
  <c r="K144" i="3"/>
  <c r="K137" i="3"/>
  <c r="K135" i="3"/>
  <c r="K128" i="3"/>
  <c r="K121" i="3"/>
  <c r="K119" i="3"/>
  <c r="K92" i="3"/>
  <c r="K84" i="3"/>
  <c r="K68" i="3"/>
  <c r="K60" i="3"/>
  <c r="K57" i="3"/>
  <c r="K35" i="3"/>
  <c r="K27" i="3"/>
  <c r="K19" i="3"/>
  <c r="K7" i="3"/>
  <c r="K17" i="3"/>
  <c r="K9" i="3"/>
  <c r="K165" i="3"/>
  <c r="K142" i="3"/>
  <c r="K126" i="3"/>
  <c r="K54" i="3"/>
  <c r="K2" i="3"/>
  <c r="K14" i="3"/>
  <c r="K3" i="3"/>
  <c r="K149" i="3"/>
  <c r="K147" i="3"/>
  <c r="K140" i="3"/>
  <c r="K133" i="3"/>
  <c r="K131" i="3"/>
  <c r="K124" i="3"/>
  <c r="K117" i="3"/>
  <c r="K115" i="3"/>
  <c r="K101" i="3"/>
  <c r="K95" i="3"/>
  <c r="K87" i="3"/>
  <c r="K79" i="3"/>
  <c r="K71" i="3"/>
  <c r="K63" i="3"/>
  <c r="K51" i="3"/>
  <c r="K48" i="3"/>
  <c r="K44" i="3"/>
  <c r="K40" i="3"/>
  <c r="K36" i="3"/>
  <c r="K32" i="3"/>
  <c r="K28" i="3"/>
  <c r="K24" i="3"/>
  <c r="K20" i="3"/>
  <c r="K16" i="3"/>
  <c r="K12" i="3"/>
  <c r="K8" i="3"/>
  <c r="K6" i="3"/>
  <c r="K88" i="3"/>
  <c r="K80" i="3"/>
  <c r="K64" i="3"/>
  <c r="K55" i="3"/>
  <c r="K52" i="3"/>
  <c r="K41" i="3"/>
  <c r="K138" i="3"/>
  <c r="K122" i="3"/>
  <c r="K98" i="3"/>
  <c r="K93" i="3"/>
  <c r="K90" i="3"/>
  <c r="K85" i="3"/>
  <c r="K82" i="3"/>
  <c r="K77" i="3"/>
  <c r="K74" i="3"/>
  <c r="K69" i="3"/>
  <c r="K66" i="3"/>
  <c r="K61" i="3"/>
  <c r="K58" i="3"/>
  <c r="K152" i="3"/>
  <c r="K145" i="3"/>
  <c r="K143" i="3"/>
  <c r="K136" i="3"/>
  <c r="K129" i="3"/>
  <c r="K127" i="3"/>
  <c r="K120" i="3"/>
  <c r="K113" i="3"/>
  <c r="K96" i="3"/>
  <c r="K72" i="3"/>
  <c r="K49" i="3"/>
  <c r="K45" i="3"/>
  <c r="K37" i="3"/>
  <c r="K33" i="3"/>
  <c r="K29" i="3"/>
  <c r="K25" i="3"/>
  <c r="K22" i="3"/>
  <c r="L22" i="3" l="1"/>
  <c r="L25" i="3"/>
  <c r="L29" i="3"/>
  <c r="L33" i="3"/>
  <c r="L37" i="3"/>
  <c r="L45" i="3"/>
  <c r="L49" i="3"/>
  <c r="L72" i="3"/>
  <c r="L96" i="3"/>
  <c r="L113" i="3"/>
  <c r="L120" i="3"/>
  <c r="L127" i="3"/>
  <c r="L129" i="3"/>
  <c r="L136" i="3"/>
  <c r="L143" i="3"/>
  <c r="L145" i="3"/>
  <c r="L152" i="3"/>
  <c r="L58" i="3"/>
  <c r="L61" i="3"/>
  <c r="L66" i="3"/>
  <c r="L69" i="3"/>
  <c r="L74" i="3"/>
  <c r="L77" i="3"/>
  <c r="L82" i="3"/>
  <c r="L85" i="3"/>
  <c r="L90" i="3"/>
  <c r="L93" i="3"/>
  <c r="L98" i="3"/>
  <c r="L122" i="3"/>
  <c r="L138" i="3"/>
  <c r="L41" i="3"/>
  <c r="L52" i="3"/>
  <c r="L55" i="3"/>
  <c r="L64" i="3"/>
  <c r="L80" i="3"/>
  <c r="L88" i="3"/>
  <c r="L6" i="3"/>
  <c r="L8" i="3"/>
  <c r="L12" i="3"/>
  <c r="L16" i="3"/>
  <c r="L20" i="3"/>
  <c r="L24" i="3"/>
  <c r="L28" i="3"/>
  <c r="L32" i="3"/>
  <c r="L36" i="3"/>
  <c r="L40" i="3"/>
  <c r="L44" i="3"/>
  <c r="L48" i="3"/>
  <c r="L51" i="3"/>
  <c r="L63" i="3"/>
  <c r="L71" i="3"/>
  <c r="L79" i="3"/>
  <c r="L87" i="3"/>
  <c r="L95" i="3"/>
  <c r="L101" i="3"/>
  <c r="L115" i="3"/>
  <c r="L117" i="3"/>
  <c r="L124" i="3"/>
  <c r="L131" i="3"/>
  <c r="L133" i="3"/>
  <c r="L140" i="3"/>
  <c r="L147" i="3"/>
  <c r="L149" i="3"/>
  <c r="L3" i="3"/>
  <c r="L14" i="3"/>
  <c r="L2" i="3"/>
  <c r="L54" i="3"/>
  <c r="L126" i="3"/>
  <c r="L142" i="3"/>
  <c r="L165" i="3"/>
  <c r="L9" i="3"/>
  <c r="L17" i="3"/>
  <c r="L7" i="3"/>
  <c r="L19" i="3"/>
  <c r="L27" i="3"/>
  <c r="L35" i="3"/>
  <c r="L57" i="3"/>
  <c r="L60" i="3"/>
  <c r="L68" i="3"/>
  <c r="L84" i="3"/>
  <c r="L92" i="3"/>
  <c r="L119" i="3"/>
  <c r="L121" i="3"/>
  <c r="L128" i="3"/>
  <c r="L135" i="3"/>
  <c r="L137" i="3"/>
  <c r="L144" i="3"/>
  <c r="L151" i="3"/>
  <c r="L153" i="3"/>
  <c r="L157" i="3"/>
  <c r="L161" i="3"/>
  <c r="L18" i="3"/>
  <c r="L13" i="3"/>
  <c r="L21" i="3"/>
  <c r="L5" i="3"/>
  <c r="L11" i="3"/>
  <c r="L15" i="3"/>
  <c r="L23" i="3"/>
  <c r="L31" i="3"/>
  <c r="L39" i="3"/>
  <c r="L43" i="3"/>
  <c r="L47" i="3"/>
  <c r="L76" i="3"/>
  <c r="L109" i="3"/>
  <c r="L4" i="3"/>
  <c r="L50" i="3"/>
  <c r="L62" i="3"/>
  <c r="L65" i="3"/>
  <c r="L70" i="3"/>
  <c r="L73" i="3"/>
  <c r="L78" i="3"/>
  <c r="L81" i="3"/>
  <c r="L86" i="3"/>
  <c r="L89" i="3"/>
  <c r="L94" i="3"/>
  <c r="L97" i="3"/>
  <c r="L103" i="3"/>
  <c r="L114" i="3"/>
  <c r="L130" i="3"/>
  <c r="L146" i="3"/>
  <c r="L155" i="3"/>
  <c r="L159" i="3"/>
  <c r="L10" i="3"/>
  <c r="L30" i="3"/>
  <c r="L42" i="3"/>
  <c r="L53" i="3"/>
  <c r="L56" i="3"/>
  <c r="L67" i="3"/>
  <c r="L75" i="3"/>
  <c r="L83" i="3"/>
  <c r="L91" i="3"/>
  <c r="L99" i="3"/>
  <c r="L111" i="3"/>
  <c r="L116" i="3"/>
  <c r="L123" i="3"/>
  <c r="L125" i="3"/>
  <c r="L132" i="3"/>
  <c r="L139" i="3"/>
  <c r="L141" i="3"/>
  <c r="L148" i="3"/>
  <c r="L26" i="3"/>
  <c r="L34" i="3"/>
  <c r="L38" i="3"/>
  <c r="L46" i="3"/>
  <c r="L59" i="3"/>
  <c r="L105" i="3"/>
  <c r="L118" i="3"/>
  <c r="L134" i="3"/>
  <c r="L150" i="3"/>
  <c r="L156" i="3"/>
  <c r="L160" i="3"/>
  <c r="L164" i="3"/>
  <c r="L168" i="3"/>
  <c r="L172" i="3"/>
  <c r="L176" i="3"/>
  <c r="L180" i="3"/>
  <c r="L184" i="3"/>
  <c r="L188" i="3"/>
  <c r="L192" i="3"/>
  <c r="L196" i="3"/>
  <c r="L200" i="3"/>
  <c r="L204" i="3"/>
  <c r="L208" i="3"/>
  <c r="L212" i="3"/>
  <c r="L216" i="3"/>
  <c r="L102" i="3"/>
  <c r="L110" i="3"/>
  <c r="L163" i="3"/>
  <c r="L167" i="3"/>
  <c r="L171" i="3"/>
  <c r="L175" i="3"/>
  <c r="L179" i="3"/>
  <c r="L183" i="3"/>
  <c r="L187" i="3"/>
  <c r="L191" i="3"/>
  <c r="L195" i="3"/>
  <c r="L199" i="3"/>
  <c r="L203" i="3"/>
  <c r="L207" i="3"/>
  <c r="L211" i="3"/>
  <c r="L215" i="3"/>
  <c r="L108" i="3"/>
  <c r="L154" i="3"/>
  <c r="L158" i="3"/>
  <c r="L162" i="3"/>
  <c r="L166" i="3"/>
  <c r="L170" i="3"/>
  <c r="L174" i="3"/>
  <c r="L178" i="3"/>
  <c r="L182" i="3"/>
  <c r="L186" i="3"/>
  <c r="L190" i="3"/>
  <c r="L194" i="3"/>
  <c r="L198" i="3"/>
  <c r="L202" i="3"/>
  <c r="L206" i="3"/>
  <c r="L210" i="3"/>
  <c r="L214" i="3"/>
  <c r="L169" i="3"/>
  <c r="L173" i="3"/>
  <c r="L177" i="3"/>
  <c r="L181" i="3"/>
  <c r="L185" i="3"/>
  <c r="L189" i="3"/>
  <c r="L193" i="3"/>
  <c r="L197" i="3"/>
  <c r="L201" i="3"/>
  <c r="L205" i="3"/>
  <c r="L209" i="3"/>
  <c r="L213" i="3"/>
  <c r="L217" i="3"/>
  <c r="P6" i="3"/>
  <c r="Q3" i="3"/>
  <c r="Q4" i="3" s="1"/>
  <c r="F100" i="3"/>
  <c r="H106" i="3"/>
  <c r="F106" i="3"/>
  <c r="G106" i="3" s="1"/>
  <c r="G100" i="3"/>
  <c r="O6" i="3"/>
  <c r="G107" i="3"/>
  <c r="H104" i="3"/>
  <c r="F104" i="3"/>
  <c r="G104" i="3"/>
  <c r="H112" i="3"/>
  <c r="F112" i="3"/>
  <c r="G112" i="3" s="1"/>
  <c r="N2" i="1"/>
  <c r="K107" i="3"/>
  <c r="K104" i="3"/>
  <c r="K100" i="3"/>
  <c r="K106" i="3"/>
  <c r="K112" i="3"/>
  <c r="L112" i="3" l="1"/>
  <c r="L106" i="3"/>
  <c r="L100" i="3"/>
  <c r="L104" i="3"/>
  <c r="L107" i="3"/>
  <c r="M85" i="1" l="1"/>
  <c r="N85" i="1" s="1"/>
  <c r="L85" i="1"/>
  <c r="M84" i="1"/>
  <c r="N84" i="1" s="1"/>
  <c r="L84" i="1"/>
  <c r="M83" i="1"/>
  <c r="L83" i="1"/>
  <c r="M82" i="1"/>
  <c r="L82" i="1"/>
  <c r="M81" i="1"/>
  <c r="N81" i="1" s="1"/>
  <c r="L81" i="1"/>
  <c r="M80" i="1"/>
  <c r="N80" i="1" s="1"/>
  <c r="L80" i="1"/>
  <c r="M79" i="1"/>
  <c r="L79" i="1"/>
  <c r="M78" i="1"/>
  <c r="L78" i="1"/>
  <c r="M77" i="1"/>
  <c r="N77" i="1" s="1"/>
  <c r="L77" i="1"/>
  <c r="M76" i="1"/>
  <c r="N76" i="1" s="1"/>
  <c r="L76" i="1"/>
  <c r="M75" i="1"/>
  <c r="L75" i="1"/>
  <c r="M74" i="1"/>
  <c r="L74" i="1"/>
  <c r="M73" i="1"/>
  <c r="N73" i="1" s="1"/>
  <c r="L73" i="1"/>
  <c r="M72" i="1"/>
  <c r="N72" i="1" s="1"/>
  <c r="L72" i="1"/>
  <c r="M71" i="1"/>
  <c r="L71" i="1"/>
  <c r="M70" i="1"/>
  <c r="L70" i="1"/>
  <c r="M69" i="1"/>
  <c r="N69" i="1" s="1"/>
  <c r="L69" i="1"/>
  <c r="M68" i="1"/>
  <c r="N68" i="1" s="1"/>
  <c r="L68" i="1"/>
  <c r="M67" i="1"/>
  <c r="L67" i="1"/>
  <c r="M66" i="1"/>
  <c r="L66" i="1"/>
  <c r="M65" i="1"/>
  <c r="N65" i="1" s="1"/>
  <c r="L65" i="1"/>
  <c r="M64" i="1"/>
  <c r="N64" i="1" s="1"/>
  <c r="L64" i="1"/>
  <c r="M63" i="1"/>
  <c r="L63" i="1"/>
  <c r="M62" i="1"/>
  <c r="L62" i="1"/>
  <c r="M61" i="1"/>
  <c r="N61" i="1" s="1"/>
  <c r="L61" i="1"/>
  <c r="M60" i="1"/>
  <c r="N60" i="1" s="1"/>
  <c r="L60" i="1"/>
  <c r="M59" i="1"/>
  <c r="L59" i="1"/>
  <c r="M58" i="1"/>
  <c r="L58" i="1"/>
  <c r="M57" i="1"/>
  <c r="N57" i="1" s="1"/>
  <c r="L57" i="1"/>
  <c r="M56" i="1"/>
  <c r="N56" i="1" s="1"/>
  <c r="L56" i="1"/>
  <c r="M55" i="1"/>
  <c r="L55" i="1"/>
  <c r="M54" i="1"/>
  <c r="L54" i="1"/>
  <c r="M53" i="1"/>
  <c r="N53" i="1" s="1"/>
  <c r="L53" i="1"/>
  <c r="M52" i="1"/>
  <c r="N52" i="1" s="1"/>
  <c r="L52" i="1"/>
  <c r="M51" i="1"/>
  <c r="L51" i="1"/>
  <c r="M50" i="1"/>
  <c r="L50" i="1"/>
  <c r="M49" i="1"/>
  <c r="N49" i="1" s="1"/>
  <c r="L49" i="1"/>
  <c r="M48" i="1"/>
  <c r="N48" i="1" s="1"/>
  <c r="L48" i="1"/>
  <c r="M47" i="1"/>
  <c r="L47" i="1"/>
  <c r="M46" i="1"/>
  <c r="L46" i="1"/>
  <c r="M45" i="1"/>
  <c r="N45" i="1" s="1"/>
  <c r="L45" i="1"/>
  <c r="M44" i="1"/>
  <c r="N44" i="1" s="1"/>
  <c r="L44" i="1"/>
  <c r="M43" i="1"/>
  <c r="L43" i="1"/>
  <c r="M42" i="1"/>
  <c r="L42" i="1"/>
  <c r="M41" i="1"/>
  <c r="N41" i="1" s="1"/>
  <c r="L41" i="1"/>
  <c r="M40" i="1"/>
  <c r="N40" i="1" s="1"/>
  <c r="L40" i="1"/>
  <c r="M39" i="1"/>
  <c r="L39" i="1"/>
  <c r="M38" i="1"/>
  <c r="L38" i="1"/>
  <c r="M37" i="1"/>
  <c r="N37" i="1" s="1"/>
  <c r="L37" i="1"/>
  <c r="M36" i="1"/>
  <c r="N36" i="1" s="1"/>
  <c r="L36" i="1"/>
  <c r="M35" i="1"/>
  <c r="L35" i="1"/>
  <c r="M34" i="1"/>
  <c r="L34" i="1"/>
  <c r="M33" i="1"/>
  <c r="N33" i="1" s="1"/>
  <c r="L33" i="1"/>
  <c r="M32" i="1"/>
  <c r="N32" i="1" s="1"/>
  <c r="L32" i="1"/>
  <c r="M31" i="1"/>
  <c r="L31" i="1"/>
  <c r="M30" i="1"/>
  <c r="N30" i="1" s="1"/>
  <c r="L30" i="1"/>
  <c r="M29" i="1"/>
  <c r="N29" i="1" s="1"/>
  <c r="L29" i="1"/>
  <c r="M28" i="1"/>
  <c r="L28" i="1"/>
  <c r="M27" i="1"/>
  <c r="N27" i="1" s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N20" i="1" s="1"/>
  <c r="L20" i="1"/>
  <c r="M19" i="1"/>
  <c r="L19" i="1"/>
  <c r="M18" i="1"/>
  <c r="L18" i="1"/>
  <c r="M17" i="1"/>
  <c r="N17" i="1" s="1"/>
  <c r="L17" i="1"/>
  <c r="M16" i="1"/>
  <c r="N16" i="1" s="1"/>
  <c r="L16" i="1"/>
  <c r="M15" i="1"/>
  <c r="L15" i="1"/>
  <c r="M14" i="1"/>
  <c r="N14" i="1" s="1"/>
  <c r="L14" i="1"/>
  <c r="M13" i="1"/>
  <c r="N13" i="1" s="1"/>
  <c r="L13" i="1"/>
  <c r="M12" i="1"/>
  <c r="L12" i="1"/>
  <c r="M11" i="1"/>
  <c r="N11" i="1" s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N4" i="1" s="1"/>
  <c r="L4" i="1"/>
  <c r="M3" i="1"/>
  <c r="L3" i="1"/>
  <c r="R15" i="1"/>
  <c r="S15" i="1" l="1"/>
  <c r="N5" i="1"/>
  <c r="N24" i="1"/>
  <c r="N38" i="1"/>
  <c r="N54" i="1"/>
  <c r="N78" i="1"/>
  <c r="N15" i="1"/>
  <c r="N9" i="1"/>
  <c r="N12" i="1"/>
  <c r="N25" i="1"/>
  <c r="N28" i="1"/>
  <c r="N35" i="1"/>
  <c r="N39" i="1"/>
  <c r="N43" i="1"/>
  <c r="N47" i="1"/>
  <c r="N51" i="1"/>
  <c r="N55" i="1"/>
  <c r="N59" i="1"/>
  <c r="N63" i="1"/>
  <c r="N67" i="1"/>
  <c r="N71" i="1"/>
  <c r="N75" i="1"/>
  <c r="N79" i="1"/>
  <c r="N83" i="1"/>
  <c r="N21" i="1"/>
  <c r="N42" i="1"/>
  <c r="N66" i="1"/>
  <c r="N18" i="1"/>
  <c r="N6" i="1"/>
  <c r="N19" i="1"/>
  <c r="N22" i="1"/>
  <c r="N46" i="1"/>
  <c r="N70" i="1"/>
  <c r="N50" i="1"/>
  <c r="N62" i="1"/>
  <c r="N82" i="1"/>
  <c r="N7" i="1"/>
  <c r="N10" i="1"/>
  <c r="N23" i="1"/>
  <c r="N26" i="1"/>
  <c r="N8" i="1"/>
  <c r="N34" i="1"/>
  <c r="N58" i="1"/>
  <c r="N74" i="1"/>
  <c r="N31" i="1"/>
  <c r="N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Siebe Bosch</author>
  </authors>
  <commentList>
    <comment ref="H1" authorId="0" shapeId="0" xr:uid="{5091AB3C-831E-4C90-95EB-DF4577A7C317}">
      <text>
        <r>
          <rPr>
            <b/>
            <sz val="9"/>
            <color indexed="81"/>
            <rFont val="Tahoma"/>
            <charset val="1"/>
          </rPr>
          <t>Siebe Bosch:</t>
        </r>
        <r>
          <rPr>
            <sz val="9"/>
            <color indexed="81"/>
            <rFont val="Tahoma"/>
            <charset val="1"/>
          </rPr>
          <t xml:space="preserve">
−0.0336 − 0.264 log 𝐷𝐷 + 0.0636 (log 𝐷𝐷)2
</t>
        </r>
      </text>
    </comment>
  </commentList>
</comments>
</file>

<file path=xl/sharedStrings.xml><?xml version="1.0" encoding="utf-8"?>
<sst xmlns="http://schemas.openxmlformats.org/spreadsheetml/2006/main" count="1009" uniqueCount="326">
  <si>
    <t>scenario</t>
  </si>
  <si>
    <t>climate</t>
  </si>
  <si>
    <t>aλ</t>
  </si>
  <si>
    <t>bλ</t>
  </si>
  <si>
    <t>cλ</t>
  </si>
  <si>
    <t>aϒ</t>
  </si>
  <si>
    <t>bϒ</t>
  </si>
  <si>
    <t>cϒ</t>
  </si>
  <si>
    <t>region</t>
  </si>
  <si>
    <t>0.239</t>
  </si>
  <si>
    <t>-0.0250</t>
  </si>
  <si>
    <t>-0.512</t>
  </si>
  <si>
    <t>0.378</t>
  </si>
  <si>
    <t>-0.0578</t>
  </si>
  <si>
    <t>0.0054</t>
  </si>
  <si>
    <t>0.246</t>
  </si>
  <si>
    <t>-0.0257</t>
  </si>
  <si>
    <t>-0.503</t>
  </si>
  <si>
    <t>0.377</t>
  </si>
  <si>
    <t>-0.0565</t>
  </si>
  <si>
    <t>0.0050</t>
  </si>
  <si>
    <t>0.240</t>
  </si>
  <si>
    <t>-0.506</t>
  </si>
  <si>
    <t>0.384</t>
  </si>
  <si>
    <t>-0.0576</t>
  </si>
  <si>
    <t>0.0051</t>
  </si>
  <si>
    <t>0.235</t>
  </si>
  <si>
    <t>-0.0243</t>
  </si>
  <si>
    <t>-0.509</t>
  </si>
  <si>
    <t>0.390</t>
  </si>
  <si>
    <t>-0.0587</t>
  </si>
  <si>
    <t>0.0052</t>
  </si>
  <si>
    <t>0.247</t>
  </si>
  <si>
    <t>-0.0258</t>
  </si>
  <si>
    <t>-0.501</t>
  </si>
  <si>
    <t>-0.0577</t>
  </si>
  <si>
    <t>0.0053</t>
  </si>
  <si>
    <t>0.241</t>
  </si>
  <si>
    <t>-0.504</t>
  </si>
  <si>
    <t>-0.0589</t>
  </si>
  <si>
    <t>0.236</t>
  </si>
  <si>
    <t>0.391</t>
  </si>
  <si>
    <t>-0.0600</t>
  </si>
  <si>
    <t>0.0055</t>
  </si>
  <si>
    <t>0.269</t>
  </si>
  <si>
    <t>-0.0272</t>
  </si>
  <si>
    <t>-0.474</t>
  </si>
  <si>
    <t>0.374</t>
  </si>
  <si>
    <t>-0.0563</t>
  </si>
  <si>
    <t>0.260</t>
  </si>
  <si>
    <t>-0.0263</t>
  </si>
  <si>
    <t>-0.479</t>
  </si>
  <si>
    <t>0.382</t>
  </si>
  <si>
    <t>-0.0574</t>
  </si>
  <si>
    <t>0.252</t>
  </si>
  <si>
    <t>-0.0254</t>
  </si>
  <si>
    <t>-0.483</t>
  </si>
  <si>
    <t>-0.0586</t>
  </si>
  <si>
    <t>0.262</t>
  </si>
  <si>
    <t>-0.0266</t>
  </si>
  <si>
    <t>-0.480</t>
  </si>
  <si>
    <t>0.375</t>
  </si>
  <si>
    <t>-0.0557</t>
  </si>
  <si>
    <t>0.0049</t>
  </si>
  <si>
    <t>0.249</t>
  </si>
  <si>
    <t>-0.0252</t>
  </si>
  <si>
    <t>-0.485</t>
  </si>
  <si>
    <t>0.386</t>
  </si>
  <si>
    <t>-0.0572</t>
  </si>
  <si>
    <t>-0.0240</t>
  </si>
  <si>
    <t>-0.486</t>
  </si>
  <si>
    <t>0.398</t>
  </si>
  <si>
    <t>-0.0591</t>
  </si>
  <si>
    <t>0.289</t>
  </si>
  <si>
    <t>-0.0287</t>
  </si>
  <si>
    <t>-0.451</t>
  </si>
  <si>
    <t>0.400</t>
  </si>
  <si>
    <t>-0.0698</t>
  </si>
  <si>
    <t>0.0064</t>
  </si>
  <si>
    <t>0.276</t>
  </si>
  <si>
    <t>-0.0271</t>
  </si>
  <si>
    <t>-0.456</t>
  </si>
  <si>
    <t>0.416</t>
  </si>
  <si>
    <t>-0.0728</t>
  </si>
  <si>
    <t>0.0066</t>
  </si>
  <si>
    <t>0.265</t>
  </si>
  <si>
    <t>-0.459</t>
  </si>
  <si>
    <t>0.432</t>
  </si>
  <si>
    <t>-0.0755</t>
  </si>
  <si>
    <t>0.0069</t>
  </si>
  <si>
    <t>-0.0261</t>
  </si>
  <si>
    <t>-0.494</t>
  </si>
  <si>
    <t>-0.0553</t>
  </si>
  <si>
    <t>0.243</t>
  </si>
  <si>
    <t>-0.498</t>
  </si>
  <si>
    <t>-0.0241</t>
  </si>
  <si>
    <t>0.394</t>
  </si>
  <si>
    <t>0.271</t>
  </si>
  <si>
    <t>-0.0274</t>
  </si>
  <si>
    <t>-0.471</t>
  </si>
  <si>
    <t>-0.0559</t>
  </si>
  <si>
    <t>0.0046</t>
  </si>
  <si>
    <t>-0.0262</t>
  </si>
  <si>
    <t>-0.476</t>
  </si>
  <si>
    <t>0.395</t>
  </si>
  <si>
    <t>0.0047</t>
  </si>
  <si>
    <t>0.250</t>
  </si>
  <si>
    <t>-0.0251</t>
  </si>
  <si>
    <t>-0.481</t>
  </si>
  <si>
    <t>0.405</t>
  </si>
  <si>
    <t>-0.0584</t>
  </si>
  <si>
    <t>0.272</t>
  </si>
  <si>
    <t>-0.464</t>
  </si>
  <si>
    <t>-0.0581</t>
  </si>
  <si>
    <t>0.248</t>
  </si>
  <si>
    <t>-0.0244</t>
  </si>
  <si>
    <t>-0.475</t>
  </si>
  <si>
    <t>-0.0612</t>
  </si>
  <si>
    <t>0.230</t>
  </si>
  <si>
    <t>-0.0223</t>
  </si>
  <si>
    <t>-0.482</t>
  </si>
  <si>
    <t>0.423</t>
  </si>
  <si>
    <t>-0.0657</t>
  </si>
  <si>
    <t>0.0059</t>
  </si>
  <si>
    <t>0.286</t>
  </si>
  <si>
    <t>-0.0284</t>
  </si>
  <si>
    <t>-0.448</t>
  </si>
  <si>
    <t>-0.0654</t>
  </si>
  <si>
    <t>-0.0256</t>
  </si>
  <si>
    <t>-0.458</t>
  </si>
  <si>
    <t>0.415</t>
  </si>
  <si>
    <t>-0.0681</t>
  </si>
  <si>
    <t>0.0056</t>
  </si>
  <si>
    <t>-0.0236</t>
  </si>
  <si>
    <t>-0.461</t>
  </si>
  <si>
    <t>0.435</t>
  </si>
  <si>
    <t>-0.0702</t>
  </si>
  <si>
    <t>-</t>
  </si>
  <si>
    <t>GL_lower</t>
  </si>
  <si>
    <t>GL_centr</t>
  </si>
  <si>
    <t>GL_upper</t>
  </si>
  <si>
    <t>GH_lower</t>
  </si>
  <si>
    <t>GH_centr</t>
  </si>
  <si>
    <t>GH_upper</t>
  </si>
  <si>
    <t>WL_lower</t>
  </si>
  <si>
    <t>WL_centr</t>
  </si>
  <si>
    <t>WL_upper</t>
  </si>
  <si>
    <t>WH_lower</t>
  </si>
  <si>
    <t>WH_centr</t>
  </si>
  <si>
    <t>WH_upper</t>
  </si>
  <si>
    <t>lower</t>
  </si>
  <si>
    <t>centr</t>
  </si>
  <si>
    <t>upper</t>
  </si>
  <si>
    <t>season</t>
  </si>
  <si>
    <t>jaarrond</t>
  </si>
  <si>
    <t>-0.0248</t>
  </si>
  <si>
    <t>-0.507</t>
  </si>
  <si>
    <t>-0.0714</t>
  </si>
  <si>
    <t>0.0081</t>
  </si>
  <si>
    <t>-0.0253</t>
  </si>
  <si>
    <t>0.399</t>
  </si>
  <si>
    <t>-0.0704</t>
  </si>
  <si>
    <t>0.0079</t>
  </si>
  <si>
    <t>0.245</t>
  </si>
  <si>
    <t>-0.0247</t>
  </si>
  <si>
    <t>-0.0710</t>
  </si>
  <si>
    <t>-0.0242</t>
  </si>
  <si>
    <t>0.411</t>
  </si>
  <si>
    <t>-0.0717</t>
  </si>
  <si>
    <t>0.0080</t>
  </si>
  <si>
    <t>-0.508</t>
  </si>
  <si>
    <t>0.397</t>
  </si>
  <si>
    <t>-0.0703</t>
  </si>
  <si>
    <t>0.0078</t>
  </si>
  <si>
    <t>-0.0245</t>
  </si>
  <si>
    <t>0.404</t>
  </si>
  <si>
    <t>-0.0238</t>
  </si>
  <si>
    <t>0.410</t>
  </si>
  <si>
    <t>-0.0716</t>
  </si>
  <si>
    <t>-0.502</t>
  </si>
  <si>
    <t>-0.0607</t>
  </si>
  <si>
    <t>0.0068</t>
  </si>
  <si>
    <t>0.242</t>
  </si>
  <si>
    <t>0.393</t>
  </si>
  <si>
    <t>-0.0613</t>
  </si>
  <si>
    <t>0.238</t>
  </si>
  <si>
    <t>0.401</t>
  </si>
  <si>
    <t>-0.0619</t>
  </si>
  <si>
    <t>0.264</t>
  </si>
  <si>
    <t>-0.0696</t>
  </si>
  <si>
    <t>0.0077</t>
  </si>
  <si>
    <t>0.256</t>
  </si>
  <si>
    <t>-0.477</t>
  </si>
  <si>
    <t>0.409</t>
  </si>
  <si>
    <t>-0.0701</t>
  </si>
  <si>
    <t>-0.0239</t>
  </si>
  <si>
    <t>0.419</t>
  </si>
  <si>
    <t>-0.0707</t>
  </si>
  <si>
    <t>0.278</t>
  </si>
  <si>
    <t>-0.466</t>
  </si>
  <si>
    <t>0.408</t>
  </si>
  <si>
    <t>-0.0674</t>
  </si>
  <si>
    <t>0.0072</t>
  </si>
  <si>
    <t>0.268</t>
  </si>
  <si>
    <t>-0.467</t>
  </si>
  <si>
    <t>-0.0691</t>
  </si>
  <si>
    <t>-0.0246</t>
  </si>
  <si>
    <t>-0.465</t>
  </si>
  <si>
    <t>0.437</t>
  </si>
  <si>
    <t>-0.495</t>
  </si>
  <si>
    <t>-0.0680</t>
  </si>
  <si>
    <t>0.0076</t>
  </si>
  <si>
    <t>0.244</t>
  </si>
  <si>
    <t>-0.497</t>
  </si>
  <si>
    <t>-0.0672</t>
  </si>
  <si>
    <t>0.0074</t>
  </si>
  <si>
    <t>0.413</t>
  </si>
  <si>
    <t>-0.0675</t>
  </si>
  <si>
    <t>-0.484</t>
  </si>
  <si>
    <t>0.255</t>
  </si>
  <si>
    <t>-0.0602</t>
  </si>
  <si>
    <t>0.0060</t>
  </si>
  <si>
    <t>0.420</t>
  </si>
  <si>
    <t>0.0061</t>
  </si>
  <si>
    <t>0.258</t>
  </si>
  <si>
    <t>0.392</t>
  </si>
  <si>
    <t>-0.0643</t>
  </si>
  <si>
    <t>0.0070</t>
  </si>
  <si>
    <t>-0.0634</t>
  </si>
  <si>
    <t>-0.0219</t>
  </si>
  <si>
    <t>0.434</t>
  </si>
  <si>
    <t>-0.0636</t>
  </si>
  <si>
    <t>0.0063</t>
  </si>
  <si>
    <t>-0.0518</t>
  </si>
  <si>
    <t>0.0045</t>
  </si>
  <si>
    <t>0.0043</t>
  </si>
  <si>
    <t>-0.469</t>
  </si>
  <si>
    <t>0.443</t>
  </si>
  <si>
    <t>-0.0533</t>
  </si>
  <si>
    <t>zomer</t>
  </si>
  <si>
    <t>0.670</t>
  </si>
  <si>
    <t>-0.0426</t>
  </si>
  <si>
    <t>-0.190</t>
  </si>
  <si>
    <t>0.234</t>
  </si>
  <si>
    <t>0.667</t>
  </si>
  <si>
    <t>-0.0435</t>
  </si>
  <si>
    <t>-0.197</t>
  </si>
  <si>
    <t>0.665</t>
  </si>
  <si>
    <t>-0.0430</t>
  </si>
  <si>
    <t>-0.196</t>
  </si>
  <si>
    <t>0.233</t>
  </si>
  <si>
    <t>0.666</t>
  </si>
  <si>
    <t>-0.0425</t>
  </si>
  <si>
    <t>-0.194</t>
  </si>
  <si>
    <t>0.668</t>
  </si>
  <si>
    <t>-0.0431</t>
  </si>
  <si>
    <t>-0.0422</t>
  </si>
  <si>
    <t>-0.193</t>
  </si>
  <si>
    <t>0.661</t>
  </si>
  <si>
    <t>-0.0437</t>
  </si>
  <si>
    <t>-0.200</t>
  </si>
  <si>
    <t>0.232</t>
  </si>
  <si>
    <t>-0.0432</t>
  </si>
  <si>
    <t>-0.198</t>
  </si>
  <si>
    <t>0.660</t>
  </si>
  <si>
    <t>0.237</t>
  </si>
  <si>
    <t>0.671</t>
  </si>
  <si>
    <t>-0.0421</t>
  </si>
  <si>
    <t>0.672</t>
  </si>
  <si>
    <t>-0.0411</t>
  </si>
  <si>
    <t>-0.186</t>
  </si>
  <si>
    <t>-0.0402</t>
  </si>
  <si>
    <t>-0.183</t>
  </si>
  <si>
    <t>0.662</t>
  </si>
  <si>
    <t>0.227</t>
  </si>
  <si>
    <t>-0.0412</t>
  </si>
  <si>
    <t>-0.189</t>
  </si>
  <si>
    <t>-0.0429</t>
  </si>
  <si>
    <t>-0.195</t>
  </si>
  <si>
    <t>0.229</t>
  </si>
  <si>
    <t>-0.0423</t>
  </si>
  <si>
    <t>-0.0416</t>
  </si>
  <si>
    <t>0.651</t>
  </si>
  <si>
    <t>-0.205</t>
  </si>
  <si>
    <t>0.228</t>
  </si>
  <si>
    <t>-0.202</t>
  </si>
  <si>
    <t>0.650</t>
  </si>
  <si>
    <t>0.675</t>
  </si>
  <si>
    <t>-0.0417</t>
  </si>
  <si>
    <t>-0.185</t>
  </si>
  <si>
    <t>0.674</t>
  </si>
  <si>
    <t>-0.0403</t>
  </si>
  <si>
    <t>-0.180</t>
  </si>
  <si>
    <t>-0.0389</t>
  </si>
  <si>
    <t>-0.175</t>
  </si>
  <si>
    <t>0.653</t>
  </si>
  <si>
    <t>0.226</t>
  </si>
  <si>
    <t>-0.0415</t>
  </si>
  <si>
    <t>0.647</t>
  </si>
  <si>
    <t>winter</t>
  </si>
  <si>
    <t>Disp Y</t>
  </si>
  <si>
    <t>duur</t>
  </si>
  <si>
    <t>mu</t>
  </si>
  <si>
    <t>sigma</t>
  </si>
  <si>
    <t>teta</t>
  </si>
  <si>
    <t>duur (min)</t>
  </si>
  <si>
    <t>sigma/beta</t>
  </si>
  <si>
    <t>mu/lambda</t>
  </si>
  <si>
    <t>mm</t>
  </si>
  <si>
    <t>ond.kans</t>
  </si>
  <si>
    <t>Herh</t>
  </si>
  <si>
    <t>STOWA</t>
  </si>
  <si>
    <t>met vergelijking 7 en de lamda, beta, theta van hierboven voor een herhalingstijd T=1</t>
  </si>
  <si>
    <t xml:space="preserve">vermenigvuldiging met 1.02 om +2% correctie toe te passen </t>
  </si>
  <si>
    <t>T herhalingstijd (jaar)</t>
  </si>
  <si>
    <t>ongecorr neerslag (mm)</t>
  </si>
  <si>
    <t>gecorr neerslag (mm)</t>
  </si>
  <si>
    <t>mm ongecorr</t>
  </si>
  <si>
    <t>winterperiode</t>
  </si>
  <si>
    <t>Volume</t>
  </si>
  <si>
    <t>μa</t>
  </si>
  <si>
    <t>μb</t>
  </si>
  <si>
    <t>μc</t>
  </si>
  <si>
    <t>θa</t>
  </si>
  <si>
    <t>θb</t>
  </si>
  <si>
    <t>θc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</si>
</sst>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1" fontId="0" fillId="2" borderId="1" xfId="0" applyNumberFormat="1" applyFill="1" applyBorder="1"/>
    <xf numFmtId="2" fontId="0" fillId="2" borderId="1" xfId="0" applyNumberFormat="1" applyFill="1" applyBorder="1"/>
    <xf numFmtId="164" fontId="0" fillId="0" borderId="0" xfId="0" applyNumberFormat="1"/>
    <xf numFmtId="0" fontId="0" fillId="0" borderId="0" xfId="0" applyAlignment="1">
      <alignment horizontal="left"/>
    </xf>
    <xf numFmtId="164" fontId="0" fillId="2" borderId="1" xfId="0" applyNumberFormat="1" applyFill="1" applyBorder="1"/>
    <xf numFmtId="164" fontId="0" fillId="3" borderId="1" xfId="0" applyNumberFormat="1" applyFill="1" applyBorder="1"/>
    <xf numFmtId="1" fontId="0" fillId="3" borderId="1" xfId="0" applyNumberFormat="1" applyFill="1" applyBorder="1"/>
    <xf numFmtId="0" fontId="1" fillId="0" borderId="0" xfId="0" applyFont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1" fontId="0" fillId="3" borderId="3" xfId="0" applyNumberFormat="1" applyFill="1" applyBorder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" fontId="0" fillId="2" borderId="3" xfId="0" applyNumberFormat="1" applyFill="1" applyBorder="1"/>
    <xf numFmtId="164" fontId="0" fillId="3" borderId="11" xfId="0" applyNumberFormat="1" applyFill="1" applyBorder="1"/>
    <xf numFmtId="165" fontId="0" fillId="0" borderId="0" xfId="0" applyNumberFormat="1"/>
    <xf numFmtId="0" fontId="0" fillId="0" borderId="0" xfId="0" applyFill="1" applyBorder="1"/>
    <xf numFmtId="0" fontId="1" fillId="4" borderId="0" xfId="0" applyFont="1" applyFill="1"/>
    <xf numFmtId="0" fontId="0" fillId="4" borderId="0" xfId="0" applyFill="1"/>
    <xf numFmtId="0" fontId="0" fillId="4" borderId="0" xfId="0" quotePrefix="1" applyFill="1"/>
    <xf numFmtId="0" fontId="1" fillId="4" borderId="0" xfId="0" applyFont="1" applyFill="1" applyBorder="1"/>
    <xf numFmtId="0" fontId="0" fillId="4" borderId="0" xfId="0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164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5"/>
  <sheetViews>
    <sheetView tabSelected="1" workbookViewId="0"/>
  </sheetViews>
  <sheetFormatPr defaultRowHeight="14.4" x14ac:dyDescent="0.3"/>
  <cols>
    <col min="1" max="1" width="8.6640625" customWidth="1"/>
    <col min="2" max="2" width="9.6640625" bestFit="1" customWidth="1"/>
    <col min="3" max="3" width="6.33203125" bestFit="1" customWidth="1"/>
    <col min="4" max="4" width="12.33203125" bestFit="1" customWidth="1"/>
  </cols>
  <sheetData>
    <row r="1" spans="1:22" x14ac:dyDescent="0.3">
      <c r="A1" s="29" t="s">
        <v>1</v>
      </c>
      <c r="B1" s="29" t="s">
        <v>0</v>
      </c>
      <c r="C1" s="29" t="s">
        <v>8</v>
      </c>
      <c r="D1" s="29" t="s">
        <v>153</v>
      </c>
      <c r="E1" s="29" t="s">
        <v>2</v>
      </c>
      <c r="F1" s="29" t="s">
        <v>3</v>
      </c>
      <c r="G1" s="29" t="s">
        <v>4</v>
      </c>
      <c r="H1" s="29" t="s">
        <v>5</v>
      </c>
      <c r="I1" s="29" t="s">
        <v>6</v>
      </c>
      <c r="J1" s="29" t="s">
        <v>7</v>
      </c>
      <c r="K1" s="1"/>
      <c r="L1" t="s">
        <v>300</v>
      </c>
      <c r="M1" s="1" t="s">
        <v>302</v>
      </c>
      <c r="N1" s="1" t="s">
        <v>303</v>
      </c>
      <c r="O1" s="1" t="s">
        <v>304</v>
      </c>
      <c r="P1" s="1"/>
      <c r="Q1" s="1" t="s">
        <v>319</v>
      </c>
      <c r="S1" t="s">
        <v>310</v>
      </c>
      <c r="T1" t="s">
        <v>311</v>
      </c>
      <c r="V1" s="1" t="s">
        <v>301</v>
      </c>
    </row>
    <row r="2" spans="1:22" x14ac:dyDescent="0.3">
      <c r="A2" s="30">
        <v>2014</v>
      </c>
      <c r="B2" s="30" t="s">
        <v>137</v>
      </c>
      <c r="C2" s="31" t="s">
        <v>137</v>
      </c>
      <c r="D2" s="31" t="s">
        <v>154</v>
      </c>
      <c r="E2" s="30" t="s">
        <v>9</v>
      </c>
      <c r="F2" s="30" t="s">
        <v>10</v>
      </c>
      <c r="G2" s="30" t="s">
        <v>11</v>
      </c>
      <c r="H2" s="30" t="s">
        <v>12</v>
      </c>
      <c r="I2" s="30" t="s">
        <v>13</v>
      </c>
      <c r="J2" s="30" t="s">
        <v>14</v>
      </c>
      <c r="L2" s="2">
        <f>H2 +I2*LN(V2) + J2 * LN(V2)^2</f>
        <v>0.24884862980827072</v>
      </c>
      <c r="M2" s="2">
        <f>(E2 + F2 * LN(V2))^(1/G2)</f>
        <v>36.045356522394158</v>
      </c>
      <c r="N2" s="2">
        <f>M2*L2</f>
        <v>8.9698375815484006</v>
      </c>
      <c r="O2" s="2">
        <f>IF(V$2&lt;=240,-0.09 + 0.017*V$2/24,0)</f>
        <v>-7.2999999999999995E-2</v>
      </c>
      <c r="P2" s="1"/>
      <c r="Q2">
        <v>40</v>
      </c>
      <c r="R2" s="3">
        <f>GEVCDF(M2,N2,-O2,Q2)</f>
        <v>0.52311521190258103</v>
      </c>
      <c r="S2" s="5">
        <f>1/-LN(R2)</f>
        <v>1.543320508014137</v>
      </c>
      <c r="T2" s="3">
        <v>20</v>
      </c>
      <c r="V2">
        <v>24</v>
      </c>
    </row>
    <row r="3" spans="1:22" x14ac:dyDescent="0.3">
      <c r="A3" s="30">
        <v>2030</v>
      </c>
      <c r="B3" s="30" t="s">
        <v>150</v>
      </c>
      <c r="C3" s="31" t="s">
        <v>137</v>
      </c>
      <c r="D3" s="31" t="s">
        <v>154</v>
      </c>
      <c r="E3" s="30" t="s">
        <v>15</v>
      </c>
      <c r="F3" s="30" t="s">
        <v>16</v>
      </c>
      <c r="G3" s="30" t="s">
        <v>17</v>
      </c>
      <c r="H3" s="30" t="s">
        <v>18</v>
      </c>
      <c r="I3" s="30" t="s">
        <v>19</v>
      </c>
      <c r="J3" s="30" t="s">
        <v>20</v>
      </c>
      <c r="L3" s="2">
        <f t="shared" ref="L3:L66" si="0">H3 +I3*LN(V3) + J3 * LN(V3)^2</f>
        <v>0.24794008932828729</v>
      </c>
      <c r="M3" s="2">
        <f t="shared" ref="M3:M66" si="1">(E3 + F3 * LN(V3))^(1/G3)</f>
        <v>36.24452909740976</v>
      </c>
      <c r="N3" s="2">
        <f t="shared" ref="N3:N66" si="2">M3*L3</f>
        <v>8.9864717820734832</v>
      </c>
      <c r="O3" s="2">
        <f t="shared" ref="O3:O66" si="3">IF(V$2&lt;=240,-0.09 + 0.017*V$2/24,0)</f>
        <v>-7.2999999999999995E-2</v>
      </c>
      <c r="V3">
        <v>24</v>
      </c>
    </row>
    <row r="4" spans="1:22" x14ac:dyDescent="0.3">
      <c r="A4" s="30">
        <v>2030</v>
      </c>
      <c r="B4" s="30" t="s">
        <v>151</v>
      </c>
      <c r="C4" s="31" t="s">
        <v>137</v>
      </c>
      <c r="D4" s="31" t="s">
        <v>154</v>
      </c>
      <c r="E4" s="30" t="s">
        <v>21</v>
      </c>
      <c r="F4" s="30" t="s">
        <v>10</v>
      </c>
      <c r="G4" s="30" t="s">
        <v>22</v>
      </c>
      <c r="H4" s="30" t="s">
        <v>23</v>
      </c>
      <c r="I4" s="30" t="s">
        <v>24</v>
      </c>
      <c r="J4" s="30" t="s">
        <v>25</v>
      </c>
      <c r="L4" s="2">
        <f t="shared" si="0"/>
        <v>0.25245423272976353</v>
      </c>
      <c r="M4" s="2">
        <f t="shared" si="1"/>
        <v>37.14901417623232</v>
      </c>
      <c r="N4" s="2">
        <f t="shared" si="2"/>
        <v>9.3784258705278383</v>
      </c>
      <c r="O4" s="2">
        <f t="shared" si="3"/>
        <v>-7.2999999999999995E-2</v>
      </c>
      <c r="V4">
        <v>24</v>
      </c>
    </row>
    <row r="5" spans="1:22" x14ac:dyDescent="0.3">
      <c r="A5" s="30">
        <v>2030</v>
      </c>
      <c r="B5" s="30" t="s">
        <v>152</v>
      </c>
      <c r="C5" s="31" t="s">
        <v>137</v>
      </c>
      <c r="D5" s="31" t="s">
        <v>154</v>
      </c>
      <c r="E5" s="30" t="s">
        <v>26</v>
      </c>
      <c r="F5" s="30" t="s">
        <v>27</v>
      </c>
      <c r="G5" s="30" t="s">
        <v>28</v>
      </c>
      <c r="H5" s="30" t="s">
        <v>29</v>
      </c>
      <c r="I5" s="30" t="s">
        <v>30</v>
      </c>
      <c r="J5" s="30" t="s">
        <v>31</v>
      </c>
      <c r="L5" s="2">
        <f t="shared" si="0"/>
        <v>0.25596837613123968</v>
      </c>
      <c r="M5" s="2">
        <f t="shared" si="1"/>
        <v>37.633335900231302</v>
      </c>
      <c r="N5" s="2">
        <f t="shared" si="2"/>
        <v>9.6329438787836921</v>
      </c>
      <c r="O5" s="2">
        <f t="shared" si="3"/>
        <v>-7.2999999999999995E-2</v>
      </c>
      <c r="V5">
        <v>24</v>
      </c>
    </row>
    <row r="6" spans="1:22" x14ac:dyDescent="0.3">
      <c r="A6" s="30">
        <v>2050</v>
      </c>
      <c r="B6" s="30" t="s">
        <v>138</v>
      </c>
      <c r="C6" s="31" t="s">
        <v>137</v>
      </c>
      <c r="D6" s="31" t="s">
        <v>154</v>
      </c>
      <c r="E6" s="30" t="s">
        <v>32</v>
      </c>
      <c r="F6" s="30" t="s">
        <v>33</v>
      </c>
      <c r="G6" s="30" t="s">
        <v>34</v>
      </c>
      <c r="H6" s="30" t="s">
        <v>18</v>
      </c>
      <c r="I6" s="30" t="s">
        <v>35</v>
      </c>
      <c r="J6" s="30" t="s">
        <v>36</v>
      </c>
      <c r="L6" s="2">
        <f t="shared" si="0"/>
        <v>0.24715643257644654</v>
      </c>
      <c r="M6" s="2">
        <f t="shared" si="1"/>
        <v>36.464953503763738</v>
      </c>
      <c r="N6" s="2">
        <f t="shared" si="2"/>
        <v>9.0125478220562396</v>
      </c>
      <c r="O6" s="2">
        <f t="shared" si="3"/>
        <v>-7.2999999999999995E-2</v>
      </c>
      <c r="V6">
        <v>24</v>
      </c>
    </row>
    <row r="7" spans="1:22" x14ac:dyDescent="0.3">
      <c r="A7" s="30">
        <v>2050</v>
      </c>
      <c r="B7" s="30" t="s">
        <v>139</v>
      </c>
      <c r="C7" s="31" t="s">
        <v>137</v>
      </c>
      <c r="D7" s="31" t="s">
        <v>154</v>
      </c>
      <c r="E7" s="30" t="s">
        <v>37</v>
      </c>
      <c r="F7" s="30" t="s">
        <v>10</v>
      </c>
      <c r="G7" s="30" t="s">
        <v>38</v>
      </c>
      <c r="H7" s="30" t="s">
        <v>23</v>
      </c>
      <c r="I7" s="30" t="s">
        <v>39</v>
      </c>
      <c r="J7" s="30" t="s">
        <v>14</v>
      </c>
      <c r="L7" s="2">
        <f t="shared" si="0"/>
        <v>0.25135277059488792</v>
      </c>
      <c r="M7" s="2">
        <f t="shared" si="1"/>
        <v>37.224313518181454</v>
      </c>
      <c r="N7" s="2">
        <f t="shared" si="2"/>
        <v>9.3564343362876485</v>
      </c>
      <c r="O7" s="2">
        <f t="shared" si="3"/>
        <v>-7.2999999999999995E-2</v>
      </c>
      <c r="V7">
        <v>24</v>
      </c>
    </row>
    <row r="8" spans="1:22" x14ac:dyDescent="0.3">
      <c r="A8" s="30">
        <v>2050</v>
      </c>
      <c r="B8" s="30" t="s">
        <v>140</v>
      </c>
      <c r="C8" s="31" t="s">
        <v>137</v>
      </c>
      <c r="D8" s="31" t="s">
        <v>154</v>
      </c>
      <c r="E8" s="30" t="s">
        <v>40</v>
      </c>
      <c r="F8" s="30" t="s">
        <v>27</v>
      </c>
      <c r="G8" s="30" t="s">
        <v>22</v>
      </c>
      <c r="H8" s="30" t="s">
        <v>41</v>
      </c>
      <c r="I8" s="30" t="s">
        <v>42</v>
      </c>
      <c r="J8" s="30" t="s">
        <v>43</v>
      </c>
      <c r="L8" s="2">
        <f t="shared" si="0"/>
        <v>0.25586691399636413</v>
      </c>
      <c r="M8" s="2">
        <f t="shared" si="1"/>
        <v>37.974425025930792</v>
      </c>
      <c r="N8" s="2">
        <f t="shared" si="2"/>
        <v>9.716398942171212</v>
      </c>
      <c r="O8" s="2">
        <f t="shared" si="3"/>
        <v>-7.2999999999999995E-2</v>
      </c>
      <c r="V8">
        <v>24</v>
      </c>
    </row>
    <row r="9" spans="1:22" x14ac:dyDescent="0.3">
      <c r="A9" s="30">
        <v>2050</v>
      </c>
      <c r="B9" s="30" t="s">
        <v>141</v>
      </c>
      <c r="C9" s="31" t="s">
        <v>137</v>
      </c>
      <c r="D9" s="31" t="s">
        <v>154</v>
      </c>
      <c r="E9" s="30" t="s">
        <v>44</v>
      </c>
      <c r="F9" s="30" t="s">
        <v>45</v>
      </c>
      <c r="G9" s="30" t="s">
        <v>46</v>
      </c>
      <c r="H9" s="30" t="s">
        <v>47</v>
      </c>
      <c r="I9" s="30" t="s">
        <v>48</v>
      </c>
      <c r="J9" s="30" t="s">
        <v>25</v>
      </c>
      <c r="L9" s="2">
        <f t="shared" si="0"/>
        <v>0.24658570270921581</v>
      </c>
      <c r="M9" s="2">
        <f t="shared" si="1"/>
        <v>36.160244249419137</v>
      </c>
      <c r="N9" s="2">
        <f t="shared" si="2"/>
        <v>8.9165992383798987</v>
      </c>
      <c r="O9" s="2">
        <f t="shared" si="3"/>
        <v>-7.2999999999999995E-2</v>
      </c>
      <c r="V9">
        <v>24</v>
      </c>
    </row>
    <row r="10" spans="1:22" x14ac:dyDescent="0.3">
      <c r="A10" s="30">
        <v>2050</v>
      </c>
      <c r="B10" s="30" t="s">
        <v>142</v>
      </c>
      <c r="C10" s="31" t="s">
        <v>137</v>
      </c>
      <c r="D10" s="31" t="s">
        <v>154</v>
      </c>
      <c r="E10" s="30" t="s">
        <v>49</v>
      </c>
      <c r="F10" s="30" t="s">
        <v>50</v>
      </c>
      <c r="G10" s="30" t="s">
        <v>51</v>
      </c>
      <c r="H10" s="30" t="s">
        <v>52</v>
      </c>
      <c r="I10" s="30" t="s">
        <v>53</v>
      </c>
      <c r="J10" s="30" t="s">
        <v>25</v>
      </c>
      <c r="L10" s="2">
        <f t="shared" si="0"/>
        <v>0.25108984349583308</v>
      </c>
      <c r="M10" s="2">
        <f t="shared" si="1"/>
        <v>37.409640626681949</v>
      </c>
      <c r="N10" s="2">
        <f t="shared" si="2"/>
        <v>9.3931808101889285</v>
      </c>
      <c r="O10" s="2">
        <f t="shared" si="3"/>
        <v>-7.2999999999999995E-2</v>
      </c>
      <c r="V10">
        <v>24</v>
      </c>
    </row>
    <row r="11" spans="1:22" x14ac:dyDescent="0.3">
      <c r="A11" s="30">
        <v>2050</v>
      </c>
      <c r="B11" s="30" t="s">
        <v>143</v>
      </c>
      <c r="C11" s="31" t="s">
        <v>137</v>
      </c>
      <c r="D11" s="31" t="s">
        <v>154</v>
      </c>
      <c r="E11" s="30" t="s">
        <v>54</v>
      </c>
      <c r="F11" s="30" t="s">
        <v>55</v>
      </c>
      <c r="G11" s="30" t="s">
        <v>56</v>
      </c>
      <c r="H11" s="30" t="s">
        <v>29</v>
      </c>
      <c r="I11" s="30" t="s">
        <v>57</v>
      </c>
      <c r="J11" s="30" t="s">
        <v>31</v>
      </c>
      <c r="L11" s="2">
        <f t="shared" si="0"/>
        <v>0.25628618151427451</v>
      </c>
      <c r="M11" s="2">
        <f t="shared" si="1"/>
        <v>38.595986298680046</v>
      </c>
      <c r="N11" s="2">
        <f t="shared" si="2"/>
        <v>9.8916179502659656</v>
      </c>
      <c r="O11" s="2">
        <f t="shared" si="3"/>
        <v>-7.2999999999999995E-2</v>
      </c>
      <c r="V11">
        <v>24</v>
      </c>
    </row>
    <row r="12" spans="1:22" x14ac:dyDescent="0.3">
      <c r="A12" s="30">
        <v>2050</v>
      </c>
      <c r="B12" s="30" t="s">
        <v>144</v>
      </c>
      <c r="C12" s="31" t="s">
        <v>137</v>
      </c>
      <c r="D12" s="31" t="s">
        <v>154</v>
      </c>
      <c r="E12" s="30" t="s">
        <v>58</v>
      </c>
      <c r="F12" s="30" t="s">
        <v>59</v>
      </c>
      <c r="G12" s="30" t="s">
        <v>60</v>
      </c>
      <c r="H12" s="30" t="s">
        <v>61</v>
      </c>
      <c r="I12" s="30" t="s">
        <v>62</v>
      </c>
      <c r="J12" s="30" t="s">
        <v>63</v>
      </c>
      <c r="L12" s="2">
        <f t="shared" si="0"/>
        <v>0.24747252977770673</v>
      </c>
      <c r="M12" s="2">
        <f t="shared" si="1"/>
        <v>36.673705599897779</v>
      </c>
      <c r="N12" s="2">
        <f t="shared" si="2"/>
        <v>9.0757347011295533</v>
      </c>
      <c r="O12" s="2">
        <f t="shared" si="3"/>
        <v>-7.2999999999999995E-2</v>
      </c>
      <c r="V12">
        <v>24</v>
      </c>
    </row>
    <row r="13" spans="1:22" x14ac:dyDescent="0.3">
      <c r="A13" s="30">
        <v>2050</v>
      </c>
      <c r="B13" s="30" t="s">
        <v>145</v>
      </c>
      <c r="C13" s="31" t="s">
        <v>137</v>
      </c>
      <c r="D13" s="31" t="s">
        <v>154</v>
      </c>
      <c r="E13" s="30" t="s">
        <v>64</v>
      </c>
      <c r="F13" s="30" t="s">
        <v>65</v>
      </c>
      <c r="G13" s="30" t="s">
        <v>66</v>
      </c>
      <c r="H13" s="30" t="s">
        <v>67</v>
      </c>
      <c r="I13" s="30" t="s">
        <v>68</v>
      </c>
      <c r="J13" s="30" t="s">
        <v>20</v>
      </c>
      <c r="L13" s="2">
        <f t="shared" si="0"/>
        <v>0.25471545164704373</v>
      </c>
      <c r="M13" s="2">
        <f t="shared" si="1"/>
        <v>39.124341126851526</v>
      </c>
      <c r="N13" s="2">
        <f t="shared" si="2"/>
        <v>9.9655742205189952</v>
      </c>
      <c r="O13" s="2">
        <f t="shared" si="3"/>
        <v>-7.2999999999999995E-2</v>
      </c>
      <c r="V13">
        <v>24</v>
      </c>
    </row>
    <row r="14" spans="1:22" x14ac:dyDescent="0.3">
      <c r="A14" s="30">
        <v>2050</v>
      </c>
      <c r="B14" s="30" t="s">
        <v>146</v>
      </c>
      <c r="C14" s="31" t="s">
        <v>137</v>
      </c>
      <c r="D14" s="31" t="s">
        <v>154</v>
      </c>
      <c r="E14" s="30" t="s">
        <v>37</v>
      </c>
      <c r="F14" s="30" t="s">
        <v>69</v>
      </c>
      <c r="G14" s="30" t="s">
        <v>70</v>
      </c>
      <c r="H14" s="30" t="s">
        <v>71</v>
      </c>
      <c r="I14" s="30" t="s">
        <v>72</v>
      </c>
      <c r="J14" s="30" t="s">
        <v>31</v>
      </c>
      <c r="L14" s="2">
        <f t="shared" si="0"/>
        <v>0.26269715459910054</v>
      </c>
      <c r="M14" s="2">
        <f t="shared" si="1"/>
        <v>40.888075295582631</v>
      </c>
      <c r="N14" s="2">
        <f t="shared" si="2"/>
        <v>10.741181037183333</v>
      </c>
      <c r="O14" s="2">
        <f t="shared" si="3"/>
        <v>-7.2999999999999995E-2</v>
      </c>
      <c r="V14">
        <v>24</v>
      </c>
    </row>
    <row r="15" spans="1:22" x14ac:dyDescent="0.3">
      <c r="A15" s="30">
        <v>2050</v>
      </c>
      <c r="B15" s="30" t="s">
        <v>147</v>
      </c>
      <c r="C15" s="31" t="s">
        <v>137</v>
      </c>
      <c r="D15" s="31" t="s">
        <v>154</v>
      </c>
      <c r="E15" s="30" t="s">
        <v>73</v>
      </c>
      <c r="F15" s="30" t="s">
        <v>74</v>
      </c>
      <c r="G15" s="30" t="s">
        <v>75</v>
      </c>
      <c r="H15" s="30" t="s">
        <v>76</v>
      </c>
      <c r="I15" s="30" t="s">
        <v>77</v>
      </c>
      <c r="J15" s="30" t="s">
        <v>78</v>
      </c>
      <c r="L15" s="2">
        <f t="shared" si="0"/>
        <v>0.2428120099926846</v>
      </c>
      <c r="M15" s="2">
        <f t="shared" si="1"/>
        <v>36.35157686223409</v>
      </c>
      <c r="N15" s="2">
        <f t="shared" si="2"/>
        <v>8.8265994443226266</v>
      </c>
      <c r="O15" s="2">
        <f t="shared" si="3"/>
        <v>-7.2999999999999995E-2</v>
      </c>
      <c r="Q15">
        <v>42.6</v>
      </c>
      <c r="R15" s="3">
        <f>GEVCDF(M15,N15,-O15,Q15)</f>
        <v>0.60564339988442573</v>
      </c>
      <c r="S15" s="5">
        <f>1/-LN(R15)</f>
        <v>1.9941614337212541</v>
      </c>
      <c r="T15" s="3">
        <v>20</v>
      </c>
      <c r="V15">
        <v>24</v>
      </c>
    </row>
    <row r="16" spans="1:22" x14ac:dyDescent="0.3">
      <c r="A16" s="30">
        <v>2050</v>
      </c>
      <c r="B16" s="30" t="s">
        <v>148</v>
      </c>
      <c r="C16" s="31" t="s">
        <v>137</v>
      </c>
      <c r="D16" s="31" t="s">
        <v>154</v>
      </c>
      <c r="E16" s="30" t="s">
        <v>79</v>
      </c>
      <c r="F16" s="30" t="s">
        <v>80</v>
      </c>
      <c r="G16" s="30" t="s">
        <v>81</v>
      </c>
      <c r="H16" s="30" t="s">
        <v>82</v>
      </c>
      <c r="I16" s="30" t="s">
        <v>83</v>
      </c>
      <c r="J16" s="30" t="s">
        <v>84</v>
      </c>
      <c r="L16" s="2">
        <f t="shared" si="0"/>
        <v>0.2512978537313586</v>
      </c>
      <c r="M16" s="2">
        <f t="shared" si="1"/>
        <v>38.221592950896643</v>
      </c>
      <c r="N16" s="2">
        <f t="shared" si="2"/>
        <v>9.6050042747539521</v>
      </c>
      <c r="O16" s="2">
        <f t="shared" si="3"/>
        <v>-7.2999999999999995E-2</v>
      </c>
      <c r="V16">
        <v>24</v>
      </c>
    </row>
    <row r="17" spans="1:22" x14ac:dyDescent="0.3">
      <c r="A17" s="30">
        <v>2050</v>
      </c>
      <c r="B17" s="30" t="s">
        <v>149</v>
      </c>
      <c r="C17" s="31" t="s">
        <v>137</v>
      </c>
      <c r="D17" s="31" t="s">
        <v>154</v>
      </c>
      <c r="E17" s="30" t="s">
        <v>85</v>
      </c>
      <c r="F17" s="30" t="s">
        <v>16</v>
      </c>
      <c r="G17" s="30" t="s">
        <v>86</v>
      </c>
      <c r="H17" s="30" t="s">
        <v>87</v>
      </c>
      <c r="I17" s="30" t="s">
        <v>88</v>
      </c>
      <c r="J17" s="30" t="s">
        <v>89</v>
      </c>
      <c r="L17" s="2">
        <f t="shared" si="0"/>
        <v>0.26174711623399594</v>
      </c>
      <c r="M17" s="2">
        <f t="shared" si="1"/>
        <v>40.289007697088621</v>
      </c>
      <c r="N17" s="2">
        <f t="shared" si="2"/>
        <v>10.545531580642212</v>
      </c>
      <c r="O17" s="2">
        <f t="shared" si="3"/>
        <v>-7.2999999999999995E-2</v>
      </c>
      <c r="V17">
        <v>24</v>
      </c>
    </row>
    <row r="18" spans="1:22" x14ac:dyDescent="0.3">
      <c r="A18" s="30">
        <v>2085</v>
      </c>
      <c r="B18" s="30" t="s">
        <v>138</v>
      </c>
      <c r="C18" s="31" t="s">
        <v>137</v>
      </c>
      <c r="D18" s="31" t="s">
        <v>154</v>
      </c>
      <c r="E18" s="30" t="s">
        <v>54</v>
      </c>
      <c r="F18" s="30" t="s">
        <v>90</v>
      </c>
      <c r="G18" s="30" t="s">
        <v>91</v>
      </c>
      <c r="H18" s="30" t="s">
        <v>18</v>
      </c>
      <c r="I18" s="30" t="s">
        <v>92</v>
      </c>
      <c r="J18" s="30" t="s">
        <v>20</v>
      </c>
      <c r="L18" s="2">
        <f t="shared" si="0"/>
        <v>0.25175375392470484</v>
      </c>
      <c r="M18" s="2">
        <f t="shared" si="1"/>
        <v>36.534888164590448</v>
      </c>
      <c r="N18" s="2">
        <f t="shared" si="2"/>
        <v>9.1977952446549143</v>
      </c>
      <c r="O18" s="2">
        <f t="shared" si="3"/>
        <v>-7.2999999999999995E-2</v>
      </c>
      <c r="V18">
        <v>24</v>
      </c>
    </row>
    <row r="19" spans="1:22" x14ac:dyDescent="0.3">
      <c r="A19" s="30">
        <v>2085</v>
      </c>
      <c r="B19" s="30" t="s">
        <v>139</v>
      </c>
      <c r="C19" s="31" t="s">
        <v>137</v>
      </c>
      <c r="D19" s="31" t="s">
        <v>154</v>
      </c>
      <c r="E19" s="30" t="s">
        <v>93</v>
      </c>
      <c r="F19" s="30" t="s">
        <v>10</v>
      </c>
      <c r="G19" s="30" t="s">
        <v>94</v>
      </c>
      <c r="H19" s="30" t="s">
        <v>67</v>
      </c>
      <c r="I19" s="30" t="s">
        <v>48</v>
      </c>
      <c r="J19" s="30" t="s">
        <v>25</v>
      </c>
      <c r="L19" s="2">
        <f t="shared" si="0"/>
        <v>0.25858570270921583</v>
      </c>
      <c r="M19" s="2">
        <f t="shared" si="1"/>
        <v>37.933432158882745</v>
      </c>
      <c r="N19" s="2">
        <f t="shared" si="2"/>
        <v>9.8090432109770607</v>
      </c>
      <c r="O19" s="2">
        <f t="shared" si="3"/>
        <v>-7.2999999999999995E-2</v>
      </c>
      <c r="V19">
        <v>24</v>
      </c>
    </row>
    <row r="20" spans="1:22" x14ac:dyDescent="0.3">
      <c r="A20" s="30">
        <v>2085</v>
      </c>
      <c r="B20" s="30" t="s">
        <v>140</v>
      </c>
      <c r="C20" s="31" t="s">
        <v>137</v>
      </c>
      <c r="D20" s="31" t="s">
        <v>154</v>
      </c>
      <c r="E20" s="30" t="s">
        <v>26</v>
      </c>
      <c r="F20" s="30" t="s">
        <v>95</v>
      </c>
      <c r="G20" s="30" t="s">
        <v>34</v>
      </c>
      <c r="H20" s="30" t="s">
        <v>96</v>
      </c>
      <c r="I20" s="30" t="s">
        <v>68</v>
      </c>
      <c r="J20" s="30" t="s">
        <v>31</v>
      </c>
      <c r="L20" s="2">
        <f t="shared" si="0"/>
        <v>0.26473545687676159</v>
      </c>
      <c r="M20" s="2">
        <f t="shared" si="1"/>
        <v>39.559093956476381</v>
      </c>
      <c r="N20" s="2">
        <f t="shared" si="2"/>
        <v>10.472694812198514</v>
      </c>
      <c r="O20" s="2">
        <f t="shared" si="3"/>
        <v>-7.2999999999999995E-2</v>
      </c>
      <c r="V20">
        <v>24</v>
      </c>
    </row>
    <row r="21" spans="1:22" x14ac:dyDescent="0.3">
      <c r="A21" s="30">
        <v>2085</v>
      </c>
      <c r="B21" s="30" t="s">
        <v>141</v>
      </c>
      <c r="C21" s="31" t="s">
        <v>137</v>
      </c>
      <c r="D21" s="31" t="s">
        <v>154</v>
      </c>
      <c r="E21" s="30" t="s">
        <v>97</v>
      </c>
      <c r="F21" s="30" t="s">
        <v>98</v>
      </c>
      <c r="G21" s="30" t="s">
        <v>99</v>
      </c>
      <c r="H21" s="30" t="s">
        <v>23</v>
      </c>
      <c r="I21" s="30" t="s">
        <v>100</v>
      </c>
      <c r="J21" s="30" t="s">
        <v>101</v>
      </c>
      <c r="L21" s="2">
        <f t="shared" si="0"/>
        <v>0.25280691116706039</v>
      </c>
      <c r="M21" s="2">
        <f t="shared" si="1"/>
        <v>36.415869624389082</v>
      </c>
      <c r="N21" s="2">
        <f t="shared" si="2"/>
        <v>9.2061835172041828</v>
      </c>
      <c r="O21" s="2">
        <f t="shared" si="3"/>
        <v>-7.2999999999999995E-2</v>
      </c>
      <c r="V21">
        <v>24</v>
      </c>
    </row>
    <row r="22" spans="1:22" x14ac:dyDescent="0.3">
      <c r="A22" s="30">
        <v>2085</v>
      </c>
      <c r="B22" s="30" t="s">
        <v>142</v>
      </c>
      <c r="C22" s="31" t="s">
        <v>137</v>
      </c>
      <c r="D22" s="31" t="s">
        <v>154</v>
      </c>
      <c r="E22" s="30" t="s">
        <v>49</v>
      </c>
      <c r="F22" s="30" t="s">
        <v>102</v>
      </c>
      <c r="G22" s="30" t="s">
        <v>103</v>
      </c>
      <c r="H22" s="30" t="s">
        <v>104</v>
      </c>
      <c r="I22" s="30" t="s">
        <v>68</v>
      </c>
      <c r="J22" s="30" t="s">
        <v>105</v>
      </c>
      <c r="L22" s="2">
        <f t="shared" si="0"/>
        <v>0.260685443802467</v>
      </c>
      <c r="M22" s="2">
        <f t="shared" si="1"/>
        <v>38.128978519433893</v>
      </c>
      <c r="N22" s="2">
        <f t="shared" si="2"/>
        <v>9.939669687073355</v>
      </c>
      <c r="O22" s="2">
        <f t="shared" si="3"/>
        <v>-7.2999999999999995E-2</v>
      </c>
      <c r="V22">
        <v>24</v>
      </c>
    </row>
    <row r="23" spans="1:22" x14ac:dyDescent="0.3">
      <c r="A23" s="30">
        <v>2085</v>
      </c>
      <c r="B23" s="30" t="s">
        <v>143</v>
      </c>
      <c r="C23" s="31" t="s">
        <v>137</v>
      </c>
      <c r="D23" s="31" t="s">
        <v>154</v>
      </c>
      <c r="E23" s="30" t="s">
        <v>106</v>
      </c>
      <c r="F23" s="30" t="s">
        <v>107</v>
      </c>
      <c r="G23" s="30" t="s">
        <v>108</v>
      </c>
      <c r="H23" s="30" t="s">
        <v>109</v>
      </c>
      <c r="I23" s="30" t="s">
        <v>110</v>
      </c>
      <c r="J23" s="30" t="s">
        <v>105</v>
      </c>
      <c r="L23" s="2">
        <f t="shared" si="0"/>
        <v>0.26687177920604949</v>
      </c>
      <c r="M23" s="2">
        <f t="shared" si="1"/>
        <v>39.689264075195879</v>
      </c>
      <c r="N23" s="2">
        <f t="shared" si="2"/>
        <v>10.591944519126267</v>
      </c>
      <c r="O23" s="2">
        <f t="shared" si="3"/>
        <v>-7.2999999999999995E-2</v>
      </c>
      <c r="V23">
        <v>24</v>
      </c>
    </row>
    <row r="24" spans="1:22" x14ac:dyDescent="0.3">
      <c r="A24" s="30">
        <v>2085</v>
      </c>
      <c r="B24" s="30" t="s">
        <v>144</v>
      </c>
      <c r="C24" s="31" t="s">
        <v>137</v>
      </c>
      <c r="D24" s="31" t="s">
        <v>154</v>
      </c>
      <c r="E24" s="30" t="s">
        <v>111</v>
      </c>
      <c r="F24" s="30" t="s">
        <v>45</v>
      </c>
      <c r="G24" s="30" t="s">
        <v>112</v>
      </c>
      <c r="H24" s="30" t="s">
        <v>47</v>
      </c>
      <c r="I24" s="30" t="s">
        <v>113</v>
      </c>
      <c r="J24" s="30" t="s">
        <v>36</v>
      </c>
      <c r="L24" s="2">
        <f t="shared" si="0"/>
        <v>0.24288521104430738</v>
      </c>
      <c r="M24" s="2">
        <f t="shared" si="1"/>
        <v>37.718792004695501</v>
      </c>
      <c r="N24" s="2">
        <f t="shared" si="2"/>
        <v>9.1613367563968016</v>
      </c>
      <c r="O24" s="2">
        <f t="shared" si="3"/>
        <v>-7.2999999999999995E-2</v>
      </c>
      <c r="V24">
        <v>24</v>
      </c>
    </row>
    <row r="25" spans="1:22" x14ac:dyDescent="0.3">
      <c r="A25" s="30">
        <v>2085</v>
      </c>
      <c r="B25" s="30" t="s">
        <v>145</v>
      </c>
      <c r="C25" s="31" t="s">
        <v>137</v>
      </c>
      <c r="D25" s="31" t="s">
        <v>154</v>
      </c>
      <c r="E25" s="30" t="s">
        <v>114</v>
      </c>
      <c r="F25" s="30" t="s">
        <v>115</v>
      </c>
      <c r="G25" s="30" t="s">
        <v>116</v>
      </c>
      <c r="H25" s="30" t="s">
        <v>71</v>
      </c>
      <c r="I25" s="30" t="s">
        <v>117</v>
      </c>
      <c r="J25" s="30" t="s">
        <v>43</v>
      </c>
      <c r="L25" s="2">
        <f t="shared" si="0"/>
        <v>0.25905324939994662</v>
      </c>
      <c r="M25" s="2">
        <f t="shared" si="1"/>
        <v>41.463034680252107</v>
      </c>
      <c r="N25" s="2">
        <f t="shared" si="2"/>
        <v>10.741133863901984</v>
      </c>
      <c r="O25" s="2">
        <f t="shared" si="3"/>
        <v>-7.2999999999999995E-2</v>
      </c>
      <c r="V25">
        <v>24</v>
      </c>
    </row>
    <row r="26" spans="1:22" x14ac:dyDescent="0.3">
      <c r="A26" s="30">
        <v>2085</v>
      </c>
      <c r="B26" s="30" t="s">
        <v>146</v>
      </c>
      <c r="C26" s="31" t="s">
        <v>137</v>
      </c>
      <c r="D26" s="31" t="s">
        <v>154</v>
      </c>
      <c r="E26" s="30" t="s">
        <v>118</v>
      </c>
      <c r="F26" s="30" t="s">
        <v>119</v>
      </c>
      <c r="G26" s="30" t="s">
        <v>120</v>
      </c>
      <c r="H26" s="30" t="s">
        <v>121</v>
      </c>
      <c r="I26" s="30" t="s">
        <v>122</v>
      </c>
      <c r="J26" s="30" t="s">
        <v>123</v>
      </c>
      <c r="L26" s="2">
        <f t="shared" si="0"/>
        <v>0.27379201762281652</v>
      </c>
      <c r="M26" s="2">
        <f t="shared" si="1"/>
        <v>45.302216580273409</v>
      </c>
      <c r="N26" s="2">
        <f t="shared" si="2"/>
        <v>12.403385280298869</v>
      </c>
      <c r="O26" s="2">
        <f t="shared" si="3"/>
        <v>-7.2999999999999995E-2</v>
      </c>
      <c r="V26">
        <v>24</v>
      </c>
    </row>
    <row r="27" spans="1:22" x14ac:dyDescent="0.3">
      <c r="A27" s="30">
        <v>2085</v>
      </c>
      <c r="B27" s="30" t="s">
        <v>147</v>
      </c>
      <c r="C27" s="31" t="s">
        <v>137</v>
      </c>
      <c r="D27" s="31" t="s">
        <v>154</v>
      </c>
      <c r="E27" s="30" t="s">
        <v>124</v>
      </c>
      <c r="F27" s="30" t="s">
        <v>125</v>
      </c>
      <c r="G27" s="30" t="s">
        <v>126</v>
      </c>
      <c r="H27" s="30" t="s">
        <v>41</v>
      </c>
      <c r="I27" s="30" t="s">
        <v>127</v>
      </c>
      <c r="J27" s="30" t="s">
        <v>43</v>
      </c>
      <c r="L27" s="2">
        <f t="shared" si="0"/>
        <v>0.23870542331248523</v>
      </c>
      <c r="M27" s="2">
        <f t="shared" si="1"/>
        <v>38.111510036403793</v>
      </c>
      <c r="N27" s="2">
        <f t="shared" si="2"/>
        <v>9.0974241363177963</v>
      </c>
      <c r="O27" s="2">
        <f t="shared" si="3"/>
        <v>-7.2999999999999995E-2</v>
      </c>
      <c r="V27">
        <v>24</v>
      </c>
    </row>
    <row r="28" spans="1:22" x14ac:dyDescent="0.3">
      <c r="A28" s="30">
        <v>2085</v>
      </c>
      <c r="B28" s="30" t="s">
        <v>148</v>
      </c>
      <c r="C28" s="31" t="s">
        <v>137</v>
      </c>
      <c r="D28" s="31" t="s">
        <v>154</v>
      </c>
      <c r="E28" s="30" t="s">
        <v>58</v>
      </c>
      <c r="F28" s="30" t="s">
        <v>128</v>
      </c>
      <c r="G28" s="30" t="s">
        <v>129</v>
      </c>
      <c r="H28" s="30" t="s">
        <v>130</v>
      </c>
      <c r="I28" s="30" t="s">
        <v>131</v>
      </c>
      <c r="J28" s="30" t="s">
        <v>132</v>
      </c>
      <c r="L28" s="2">
        <f t="shared" si="0"/>
        <v>0.25513468058540467</v>
      </c>
      <c r="M28" s="2">
        <f t="shared" si="1"/>
        <v>41.943769359306181</v>
      </c>
      <c r="N28" s="2">
        <f t="shared" si="2"/>
        <v>10.701310198034466</v>
      </c>
      <c r="O28" s="2">
        <f t="shared" si="3"/>
        <v>-7.2999999999999995E-2</v>
      </c>
      <c r="V28">
        <v>24</v>
      </c>
    </row>
    <row r="29" spans="1:22" x14ac:dyDescent="0.3">
      <c r="A29" s="30">
        <v>2085</v>
      </c>
      <c r="B29" s="30" t="s">
        <v>149</v>
      </c>
      <c r="C29" s="31" t="s">
        <v>137</v>
      </c>
      <c r="D29" s="31" t="s">
        <v>154</v>
      </c>
      <c r="E29" s="30" t="s">
        <v>32</v>
      </c>
      <c r="F29" s="30" t="s">
        <v>133</v>
      </c>
      <c r="G29" s="30" t="s">
        <v>134</v>
      </c>
      <c r="H29" s="30" t="s">
        <v>135</v>
      </c>
      <c r="I29" s="30" t="s">
        <v>136</v>
      </c>
      <c r="J29" s="30" t="s">
        <v>132</v>
      </c>
      <c r="L29" s="2">
        <f t="shared" si="0"/>
        <v>0.26846076754167403</v>
      </c>
      <c r="M29" s="2">
        <f t="shared" si="1"/>
        <v>45.530355676572405</v>
      </c>
      <c r="N29" s="2">
        <f t="shared" si="2"/>
        <v>12.223114231378043</v>
      </c>
      <c r="O29" s="2">
        <f t="shared" si="3"/>
        <v>-7.2999999999999995E-2</v>
      </c>
      <c r="V29">
        <v>24</v>
      </c>
    </row>
    <row r="30" spans="1:22" x14ac:dyDescent="0.3">
      <c r="A30" s="30">
        <v>2014</v>
      </c>
      <c r="B30" s="30" t="s">
        <v>137</v>
      </c>
      <c r="C30" s="31" t="s">
        <v>137</v>
      </c>
      <c r="D30" s="30" t="s">
        <v>239</v>
      </c>
      <c r="E30" s="30" t="s">
        <v>93</v>
      </c>
      <c r="F30" s="30" t="s">
        <v>155</v>
      </c>
      <c r="G30" s="30" t="s">
        <v>156</v>
      </c>
      <c r="H30" s="30" t="s">
        <v>76</v>
      </c>
      <c r="I30" s="30" t="s">
        <v>157</v>
      </c>
      <c r="J30" s="30" t="s">
        <v>158</v>
      </c>
      <c r="L30" s="2">
        <f t="shared" si="0"/>
        <v>0.25489716831672959</v>
      </c>
      <c r="M30" s="2">
        <f t="shared" si="1"/>
        <v>35.291454678320598</v>
      </c>
      <c r="N30" s="2">
        <f t="shared" si="2"/>
        <v>8.9956918632821203</v>
      </c>
      <c r="O30" s="2">
        <f t="shared" si="3"/>
        <v>-7.2999999999999995E-2</v>
      </c>
      <c r="V30">
        <v>24</v>
      </c>
    </row>
    <row r="31" spans="1:22" x14ac:dyDescent="0.3">
      <c r="A31" s="30">
        <v>2030</v>
      </c>
      <c r="B31" s="30" t="s">
        <v>150</v>
      </c>
      <c r="C31" s="31" t="s">
        <v>137</v>
      </c>
      <c r="D31" s="30" t="s">
        <v>239</v>
      </c>
      <c r="E31" s="30" t="s">
        <v>64</v>
      </c>
      <c r="F31" s="30" t="s">
        <v>159</v>
      </c>
      <c r="G31" s="30" t="s">
        <v>34</v>
      </c>
      <c r="H31" s="30" t="s">
        <v>160</v>
      </c>
      <c r="I31" s="30" t="s">
        <v>161</v>
      </c>
      <c r="J31" s="30" t="s">
        <v>162</v>
      </c>
      <c r="L31" s="2">
        <f t="shared" si="0"/>
        <v>0.25505521691735972</v>
      </c>
      <c r="M31" s="2">
        <f t="shared" si="1"/>
        <v>34.931959353502272</v>
      </c>
      <c r="N31" s="2">
        <f t="shared" si="2"/>
        <v>8.909578470255914</v>
      </c>
      <c r="O31" s="2">
        <f t="shared" si="3"/>
        <v>-7.2999999999999995E-2</v>
      </c>
      <c r="V31">
        <v>24</v>
      </c>
    </row>
    <row r="32" spans="1:22" x14ac:dyDescent="0.3">
      <c r="A32" s="30">
        <v>2030</v>
      </c>
      <c r="B32" s="30" t="s">
        <v>151</v>
      </c>
      <c r="C32" s="31" t="s">
        <v>137</v>
      </c>
      <c r="D32" s="30" t="s">
        <v>239</v>
      </c>
      <c r="E32" s="30" t="s">
        <v>163</v>
      </c>
      <c r="F32" s="30" t="s">
        <v>164</v>
      </c>
      <c r="G32" s="30" t="s">
        <v>34</v>
      </c>
      <c r="H32" s="30" t="s">
        <v>109</v>
      </c>
      <c r="I32" s="30" t="s">
        <v>165</v>
      </c>
      <c r="J32" s="30" t="s">
        <v>162</v>
      </c>
      <c r="L32" s="2">
        <f t="shared" si="0"/>
        <v>0.25914838461915096</v>
      </c>
      <c r="M32" s="2">
        <f t="shared" si="1"/>
        <v>35.813982613132119</v>
      </c>
      <c r="N32" s="2">
        <f t="shared" si="2"/>
        <v>9.281135740971548</v>
      </c>
      <c r="O32" s="2">
        <f t="shared" si="3"/>
        <v>-7.2999999999999995E-2</v>
      </c>
      <c r="V32">
        <v>24</v>
      </c>
    </row>
    <row r="33" spans="1:22" x14ac:dyDescent="0.3">
      <c r="A33" s="30">
        <v>2030</v>
      </c>
      <c r="B33" s="30" t="s">
        <v>152</v>
      </c>
      <c r="C33" s="31" t="s">
        <v>137</v>
      </c>
      <c r="D33" s="30" t="s">
        <v>239</v>
      </c>
      <c r="E33" s="30" t="s">
        <v>37</v>
      </c>
      <c r="F33" s="30" t="s">
        <v>166</v>
      </c>
      <c r="G33" s="30" t="s">
        <v>34</v>
      </c>
      <c r="H33" s="30" t="s">
        <v>167</v>
      </c>
      <c r="I33" s="30" t="s">
        <v>168</v>
      </c>
      <c r="J33" s="30" t="s">
        <v>169</v>
      </c>
      <c r="L33" s="2">
        <f t="shared" si="0"/>
        <v>0.26393374955276627</v>
      </c>
      <c r="M33" s="2">
        <f t="shared" si="1"/>
        <v>36.871989242727977</v>
      </c>
      <c r="N33" s="2">
        <f t="shared" si="2"/>
        <v>9.7317623743024573</v>
      </c>
      <c r="O33" s="2">
        <f t="shared" si="3"/>
        <v>-7.2999999999999995E-2</v>
      </c>
      <c r="V33">
        <v>24</v>
      </c>
    </row>
    <row r="34" spans="1:22" x14ac:dyDescent="0.3">
      <c r="A34" s="30">
        <v>2050</v>
      </c>
      <c r="B34" s="30" t="s">
        <v>138</v>
      </c>
      <c r="C34" s="31" t="s">
        <v>137</v>
      </c>
      <c r="D34" s="30" t="s">
        <v>239</v>
      </c>
      <c r="E34" s="30" t="s">
        <v>93</v>
      </c>
      <c r="F34" s="30" t="s">
        <v>107</v>
      </c>
      <c r="G34" s="30" t="s">
        <v>170</v>
      </c>
      <c r="H34" s="30" t="s">
        <v>171</v>
      </c>
      <c r="I34" s="30" t="s">
        <v>172</v>
      </c>
      <c r="J34" s="30" t="s">
        <v>173</v>
      </c>
      <c r="L34" s="2">
        <f t="shared" si="0"/>
        <v>0.25236301968553559</v>
      </c>
      <c r="M34" s="2">
        <f t="shared" si="1"/>
        <v>35.448828838949389</v>
      </c>
      <c r="N34" s="2">
        <f t="shared" si="2"/>
        <v>8.9459734901129657</v>
      </c>
      <c r="O34" s="2">
        <f t="shared" si="3"/>
        <v>-7.2999999999999995E-2</v>
      </c>
      <c r="V34">
        <v>24</v>
      </c>
    </row>
    <row r="35" spans="1:22" x14ac:dyDescent="0.3">
      <c r="A35" s="30">
        <v>2050</v>
      </c>
      <c r="B35" s="30" t="s">
        <v>139</v>
      </c>
      <c r="C35" s="31" t="s">
        <v>137</v>
      </c>
      <c r="D35" s="30" t="s">
        <v>239</v>
      </c>
      <c r="E35" s="30" t="s">
        <v>21</v>
      </c>
      <c r="F35" s="30" t="s">
        <v>174</v>
      </c>
      <c r="G35" s="30" t="s">
        <v>156</v>
      </c>
      <c r="H35" s="30" t="s">
        <v>175</v>
      </c>
      <c r="I35" s="30" t="s">
        <v>165</v>
      </c>
      <c r="J35" s="30" t="s">
        <v>162</v>
      </c>
      <c r="L35" s="2">
        <f t="shared" si="0"/>
        <v>0.25814838461915096</v>
      </c>
      <c r="M35" s="2">
        <f t="shared" si="1"/>
        <v>36.175478544049433</v>
      </c>
      <c r="N35" s="2">
        <f t="shared" si="2"/>
        <v>9.338641348971116</v>
      </c>
      <c r="O35" s="2">
        <f t="shared" si="3"/>
        <v>-7.2999999999999995E-2</v>
      </c>
      <c r="V35">
        <v>24</v>
      </c>
    </row>
    <row r="36" spans="1:22" x14ac:dyDescent="0.3">
      <c r="A36" s="30">
        <v>2050</v>
      </c>
      <c r="B36" s="30" t="s">
        <v>140</v>
      </c>
      <c r="C36" s="31" t="s">
        <v>137</v>
      </c>
      <c r="D36" s="30" t="s">
        <v>239</v>
      </c>
      <c r="E36" s="30" t="s">
        <v>26</v>
      </c>
      <c r="F36" s="30" t="s">
        <v>176</v>
      </c>
      <c r="G36" s="30" t="s">
        <v>170</v>
      </c>
      <c r="H36" s="30" t="s">
        <v>177</v>
      </c>
      <c r="I36" s="30" t="s">
        <v>178</v>
      </c>
      <c r="J36" s="30" t="s">
        <v>162</v>
      </c>
      <c r="L36" s="2">
        <f t="shared" si="0"/>
        <v>0.26224155232094215</v>
      </c>
      <c r="M36" s="2">
        <f t="shared" si="1"/>
        <v>37.162678398242079</v>
      </c>
      <c r="N36" s="2">
        <f t="shared" si="2"/>
        <v>9.7455984715589477</v>
      </c>
      <c r="O36" s="2">
        <f t="shared" si="3"/>
        <v>-7.2999999999999995E-2</v>
      </c>
      <c r="V36">
        <v>24</v>
      </c>
    </row>
    <row r="37" spans="1:22" x14ac:dyDescent="0.3">
      <c r="A37" s="30">
        <v>2050</v>
      </c>
      <c r="B37" s="30" t="s">
        <v>141</v>
      </c>
      <c r="C37" s="31" t="s">
        <v>137</v>
      </c>
      <c r="D37" s="30" t="s">
        <v>239</v>
      </c>
      <c r="E37" s="30" t="s">
        <v>114</v>
      </c>
      <c r="F37" s="30" t="s">
        <v>159</v>
      </c>
      <c r="G37" s="30" t="s">
        <v>179</v>
      </c>
      <c r="H37" s="30" t="s">
        <v>67</v>
      </c>
      <c r="I37" s="30" t="s">
        <v>180</v>
      </c>
      <c r="J37" s="30" t="s">
        <v>181</v>
      </c>
      <c r="L37" s="2">
        <f t="shared" si="0"/>
        <v>0.26177231030828663</v>
      </c>
      <c r="M37" s="2">
        <f t="shared" si="1"/>
        <v>35.099058617945211</v>
      </c>
      <c r="N37" s="2">
        <f t="shared" si="2"/>
        <v>9.1879616640654955</v>
      </c>
      <c r="O37" s="2">
        <f t="shared" si="3"/>
        <v>-7.2999999999999995E-2</v>
      </c>
      <c r="V37">
        <v>24</v>
      </c>
    </row>
    <row r="38" spans="1:22" x14ac:dyDescent="0.3">
      <c r="A38" s="30">
        <v>2050</v>
      </c>
      <c r="B38" s="30" t="s">
        <v>142</v>
      </c>
      <c r="C38" s="31" t="s">
        <v>137</v>
      </c>
      <c r="D38" s="30" t="s">
        <v>239</v>
      </c>
      <c r="E38" s="30" t="s">
        <v>182</v>
      </c>
      <c r="F38" s="30" t="s">
        <v>174</v>
      </c>
      <c r="G38" s="30" t="s">
        <v>17</v>
      </c>
      <c r="H38" s="30" t="s">
        <v>183</v>
      </c>
      <c r="I38" s="30" t="s">
        <v>184</v>
      </c>
      <c r="J38" s="30" t="s">
        <v>181</v>
      </c>
      <c r="L38" s="2">
        <f t="shared" si="0"/>
        <v>0.26686547801007782</v>
      </c>
      <c r="M38" s="2">
        <f t="shared" si="1"/>
        <v>36.326376530814315</v>
      </c>
      <c r="N38" s="2">
        <f t="shared" si="2"/>
        <v>9.694255837269834</v>
      </c>
      <c r="O38" s="2">
        <f t="shared" si="3"/>
        <v>-7.2999999999999995E-2</v>
      </c>
      <c r="V38">
        <v>24</v>
      </c>
    </row>
    <row r="39" spans="1:22" x14ac:dyDescent="0.3">
      <c r="A39" s="30">
        <v>2050</v>
      </c>
      <c r="B39" s="30" t="s">
        <v>143</v>
      </c>
      <c r="C39" s="31" t="s">
        <v>137</v>
      </c>
      <c r="D39" s="30" t="s">
        <v>239</v>
      </c>
      <c r="E39" s="30" t="s">
        <v>185</v>
      </c>
      <c r="F39" s="30" t="s">
        <v>176</v>
      </c>
      <c r="G39" s="30" t="s">
        <v>17</v>
      </c>
      <c r="H39" s="30" t="s">
        <v>186</v>
      </c>
      <c r="I39" s="30" t="s">
        <v>187</v>
      </c>
      <c r="J39" s="30" t="s">
        <v>181</v>
      </c>
      <c r="L39" s="2">
        <f t="shared" si="0"/>
        <v>0.27295864571186912</v>
      </c>
      <c r="M39" s="2">
        <f t="shared" si="1"/>
        <v>37.120330860634802</v>
      </c>
      <c r="N39" s="2">
        <f t="shared" si="2"/>
        <v>10.132315240095377</v>
      </c>
      <c r="O39" s="2">
        <f t="shared" si="3"/>
        <v>-7.2999999999999995E-2</v>
      </c>
      <c r="V39">
        <v>24</v>
      </c>
    </row>
    <row r="40" spans="1:22" x14ac:dyDescent="0.3">
      <c r="A40" s="30">
        <v>2050</v>
      </c>
      <c r="B40" s="30" t="s">
        <v>144</v>
      </c>
      <c r="C40" s="31" t="s">
        <v>137</v>
      </c>
      <c r="D40" s="30" t="s">
        <v>239</v>
      </c>
      <c r="E40" s="30" t="s">
        <v>188</v>
      </c>
      <c r="F40" s="30" t="s">
        <v>102</v>
      </c>
      <c r="G40" s="30" t="s">
        <v>51</v>
      </c>
      <c r="H40" s="30" t="s">
        <v>71</v>
      </c>
      <c r="I40" s="30" t="s">
        <v>189</v>
      </c>
      <c r="J40" s="30" t="s">
        <v>190</v>
      </c>
      <c r="L40" s="2">
        <f t="shared" si="0"/>
        <v>0.25457765475192023</v>
      </c>
      <c r="M40" s="2">
        <f t="shared" si="1"/>
        <v>35.568049091596258</v>
      </c>
      <c r="N40" s="2">
        <f t="shared" si="2"/>
        <v>9.054830521839742</v>
      </c>
      <c r="O40" s="2">
        <f t="shared" si="3"/>
        <v>-7.2999999999999995E-2</v>
      </c>
      <c r="V40">
        <v>24</v>
      </c>
    </row>
    <row r="41" spans="1:22" x14ac:dyDescent="0.3">
      <c r="A41" s="30">
        <v>2050</v>
      </c>
      <c r="B41" s="30" t="s">
        <v>145</v>
      </c>
      <c r="C41" s="31" t="s">
        <v>137</v>
      </c>
      <c r="D41" s="30" t="s">
        <v>239</v>
      </c>
      <c r="E41" s="30" t="s">
        <v>191</v>
      </c>
      <c r="F41" s="30" t="s">
        <v>10</v>
      </c>
      <c r="G41" s="30" t="s">
        <v>192</v>
      </c>
      <c r="H41" s="30" t="s">
        <v>193</v>
      </c>
      <c r="I41" s="30" t="s">
        <v>194</v>
      </c>
      <c r="J41" s="30" t="s">
        <v>190</v>
      </c>
      <c r="L41" s="2">
        <f t="shared" si="0"/>
        <v>0.2639886278367462</v>
      </c>
      <c r="M41" s="2">
        <f t="shared" si="1"/>
        <v>37.922818272944092</v>
      </c>
      <c r="N41" s="2">
        <f t="shared" si="2"/>
        <v>10.011192759576796</v>
      </c>
      <c r="O41" s="2">
        <f t="shared" si="3"/>
        <v>-7.2999999999999995E-2</v>
      </c>
      <c r="V41">
        <v>24</v>
      </c>
    </row>
    <row r="42" spans="1:22" x14ac:dyDescent="0.3">
      <c r="A42" s="30">
        <v>2050</v>
      </c>
      <c r="B42" s="30" t="s">
        <v>146</v>
      </c>
      <c r="C42" s="31" t="s">
        <v>137</v>
      </c>
      <c r="D42" s="30" t="s">
        <v>239</v>
      </c>
      <c r="E42" s="30" t="s">
        <v>106</v>
      </c>
      <c r="F42" s="30" t="s">
        <v>195</v>
      </c>
      <c r="G42" s="30" t="s">
        <v>46</v>
      </c>
      <c r="H42" s="30" t="s">
        <v>196</v>
      </c>
      <c r="I42" s="30" t="s">
        <v>197</v>
      </c>
      <c r="J42" s="30" t="s">
        <v>190</v>
      </c>
      <c r="L42" s="2">
        <f t="shared" si="0"/>
        <v>0.27208179553853745</v>
      </c>
      <c r="M42" s="2">
        <f t="shared" si="1"/>
        <v>39.9928552190093</v>
      </c>
      <c r="N42" s="2">
        <f t="shared" si="2"/>
        <v>10.881327856700819</v>
      </c>
      <c r="O42" s="2">
        <f t="shared" si="3"/>
        <v>-7.2999999999999995E-2</v>
      </c>
      <c r="V42">
        <v>24</v>
      </c>
    </row>
    <row r="43" spans="1:22" x14ac:dyDescent="0.3">
      <c r="A43" s="30">
        <v>2050</v>
      </c>
      <c r="B43" s="30" t="s">
        <v>147</v>
      </c>
      <c r="C43" s="31" t="s">
        <v>137</v>
      </c>
      <c r="D43" s="30" t="s">
        <v>239</v>
      </c>
      <c r="E43" s="30" t="s">
        <v>198</v>
      </c>
      <c r="F43" s="30" t="s">
        <v>45</v>
      </c>
      <c r="G43" s="30" t="s">
        <v>199</v>
      </c>
      <c r="H43" s="30" t="s">
        <v>200</v>
      </c>
      <c r="I43" s="30" t="s">
        <v>201</v>
      </c>
      <c r="J43" s="30" t="s">
        <v>202</v>
      </c>
      <c r="L43" s="2">
        <f t="shared" si="0"/>
        <v>0.26651936010439103</v>
      </c>
      <c r="M43" s="2">
        <f t="shared" si="1"/>
        <v>34.684329376190718</v>
      </c>
      <c r="N43" s="2">
        <f t="shared" si="2"/>
        <v>9.2440452709922827</v>
      </c>
      <c r="O43" s="2">
        <f t="shared" si="3"/>
        <v>-7.2999999999999995E-2</v>
      </c>
      <c r="V43">
        <v>24</v>
      </c>
    </row>
    <row r="44" spans="1:22" x14ac:dyDescent="0.3">
      <c r="A44" s="30">
        <v>2050</v>
      </c>
      <c r="B44" s="30" t="s">
        <v>148</v>
      </c>
      <c r="C44" s="31" t="s">
        <v>137</v>
      </c>
      <c r="D44" s="30" t="s">
        <v>239</v>
      </c>
      <c r="E44" s="30" t="s">
        <v>203</v>
      </c>
      <c r="F44" s="30" t="s">
        <v>33</v>
      </c>
      <c r="G44" s="30" t="s">
        <v>204</v>
      </c>
      <c r="H44" s="30" t="s">
        <v>121</v>
      </c>
      <c r="I44" s="30" t="s">
        <v>205</v>
      </c>
      <c r="J44" s="30" t="s">
        <v>202</v>
      </c>
      <c r="L44" s="2">
        <f t="shared" si="0"/>
        <v>0.27611666859279954</v>
      </c>
      <c r="M44" s="2">
        <f t="shared" si="1"/>
        <v>36.659037369350727</v>
      </c>
      <c r="N44" s="2">
        <f t="shared" si="2"/>
        <v>10.122171272244069</v>
      </c>
      <c r="O44" s="2">
        <f t="shared" si="3"/>
        <v>-7.2999999999999995E-2</v>
      </c>
      <c r="V44">
        <v>24</v>
      </c>
    </row>
    <row r="45" spans="1:22" x14ac:dyDescent="0.3">
      <c r="A45" s="30">
        <v>2050</v>
      </c>
      <c r="B45" s="30" t="s">
        <v>149</v>
      </c>
      <c r="C45" s="31" t="s">
        <v>137</v>
      </c>
      <c r="D45" s="30" t="s">
        <v>239</v>
      </c>
      <c r="E45" s="30" t="s">
        <v>49</v>
      </c>
      <c r="F45" s="30" t="s">
        <v>206</v>
      </c>
      <c r="G45" s="30" t="s">
        <v>207</v>
      </c>
      <c r="H45" s="30" t="s">
        <v>208</v>
      </c>
      <c r="I45" s="30" t="s">
        <v>136</v>
      </c>
      <c r="J45" s="30" t="s">
        <v>202</v>
      </c>
      <c r="L45" s="2">
        <f t="shared" si="0"/>
        <v>0.28662080937941681</v>
      </c>
      <c r="M45" s="2">
        <f t="shared" si="1"/>
        <v>39.099312886765013</v>
      </c>
      <c r="N45" s="2">
        <f t="shared" si="2"/>
        <v>11.20667670578365</v>
      </c>
      <c r="O45" s="2">
        <f t="shared" si="3"/>
        <v>-7.2999999999999995E-2</v>
      </c>
      <c r="V45">
        <v>24</v>
      </c>
    </row>
    <row r="46" spans="1:22" x14ac:dyDescent="0.3">
      <c r="A46" s="30">
        <v>2085</v>
      </c>
      <c r="B46" s="30" t="s">
        <v>138</v>
      </c>
      <c r="C46" s="31" t="s">
        <v>137</v>
      </c>
      <c r="D46" s="30" t="s">
        <v>239</v>
      </c>
      <c r="E46" s="30" t="s">
        <v>54</v>
      </c>
      <c r="F46" s="30" t="s">
        <v>128</v>
      </c>
      <c r="G46" s="30" t="s">
        <v>209</v>
      </c>
      <c r="H46" s="30" t="s">
        <v>160</v>
      </c>
      <c r="I46" s="30" t="s">
        <v>210</v>
      </c>
      <c r="J46" s="30" t="s">
        <v>211</v>
      </c>
      <c r="L46" s="2">
        <f t="shared" si="0"/>
        <v>0.25965253826561796</v>
      </c>
      <c r="M46" s="2">
        <f t="shared" si="1"/>
        <v>35.591186460705799</v>
      </c>
      <c r="N46" s="2">
        <f t="shared" si="2"/>
        <v>9.2413419044071556</v>
      </c>
      <c r="O46" s="2">
        <f t="shared" si="3"/>
        <v>-7.2999999999999995E-2</v>
      </c>
      <c r="V46">
        <v>24</v>
      </c>
    </row>
    <row r="47" spans="1:22" x14ac:dyDescent="0.3">
      <c r="A47" s="30">
        <v>2085</v>
      </c>
      <c r="B47" s="30" t="s">
        <v>139</v>
      </c>
      <c r="C47" s="31" t="s">
        <v>137</v>
      </c>
      <c r="D47" s="30" t="s">
        <v>239</v>
      </c>
      <c r="E47" s="30" t="s">
        <v>212</v>
      </c>
      <c r="F47" s="30" t="s">
        <v>206</v>
      </c>
      <c r="G47" s="30" t="s">
        <v>213</v>
      </c>
      <c r="H47" s="30" t="s">
        <v>109</v>
      </c>
      <c r="I47" s="30" t="s">
        <v>214</v>
      </c>
      <c r="J47" s="30" t="s">
        <v>215</v>
      </c>
      <c r="L47" s="2">
        <f t="shared" si="0"/>
        <v>0.26617497610017854</v>
      </c>
      <c r="M47" s="2">
        <f t="shared" si="1"/>
        <v>37.166161984908037</v>
      </c>
      <c r="N47" s="2">
        <f t="shared" si="2"/>
        <v>9.8927022780682616</v>
      </c>
      <c r="O47" s="2">
        <f t="shared" si="3"/>
        <v>-7.2999999999999995E-2</v>
      </c>
      <c r="V47">
        <v>24</v>
      </c>
    </row>
    <row r="48" spans="1:22" x14ac:dyDescent="0.3">
      <c r="A48" s="30">
        <v>2085</v>
      </c>
      <c r="B48" s="30" t="s">
        <v>140</v>
      </c>
      <c r="C48" s="31" t="s">
        <v>137</v>
      </c>
      <c r="D48" s="30" t="s">
        <v>239</v>
      </c>
      <c r="E48" s="30" t="s">
        <v>9</v>
      </c>
      <c r="F48" s="30" t="s">
        <v>176</v>
      </c>
      <c r="G48" s="30" t="s">
        <v>213</v>
      </c>
      <c r="H48" s="30" t="s">
        <v>216</v>
      </c>
      <c r="I48" s="30" t="s">
        <v>217</v>
      </c>
      <c r="J48" s="30" t="s">
        <v>215</v>
      </c>
      <c r="L48" s="2">
        <f t="shared" si="0"/>
        <v>0.27322155995107406</v>
      </c>
      <c r="M48" s="2">
        <f t="shared" si="1"/>
        <v>38.299701894123672</v>
      </c>
      <c r="N48" s="2">
        <f t="shared" si="2"/>
        <v>10.464304297173575</v>
      </c>
      <c r="O48" s="2">
        <f t="shared" si="3"/>
        <v>-7.2999999999999995E-2</v>
      </c>
      <c r="V48">
        <v>24</v>
      </c>
    </row>
    <row r="49" spans="1:22" x14ac:dyDescent="0.3">
      <c r="A49" s="30">
        <v>2085</v>
      </c>
      <c r="B49" s="30" t="s">
        <v>141</v>
      </c>
      <c r="C49" s="31" t="s">
        <v>137</v>
      </c>
      <c r="D49" s="30" t="s">
        <v>239</v>
      </c>
      <c r="E49" s="30" t="s">
        <v>58</v>
      </c>
      <c r="F49" s="30" t="s">
        <v>102</v>
      </c>
      <c r="G49" s="30" t="s">
        <v>218</v>
      </c>
      <c r="H49" s="30" t="s">
        <v>71</v>
      </c>
      <c r="I49" s="30" t="s">
        <v>57</v>
      </c>
      <c r="J49" s="30" t="s">
        <v>123</v>
      </c>
      <c r="L49" s="2">
        <f t="shared" si="0"/>
        <v>0.27135619981828696</v>
      </c>
      <c r="M49" s="2">
        <f t="shared" si="1"/>
        <v>35.076926276974383</v>
      </c>
      <c r="N49" s="2">
        <f t="shared" si="2"/>
        <v>9.5183414158259811</v>
      </c>
      <c r="O49" s="2">
        <f t="shared" si="3"/>
        <v>-7.2999999999999995E-2</v>
      </c>
      <c r="V49">
        <v>24</v>
      </c>
    </row>
    <row r="50" spans="1:22" x14ac:dyDescent="0.3">
      <c r="A50" s="30">
        <v>2085</v>
      </c>
      <c r="B50" s="30" t="s">
        <v>142</v>
      </c>
      <c r="C50" s="31" t="s">
        <v>137</v>
      </c>
      <c r="D50" s="30" t="s">
        <v>239</v>
      </c>
      <c r="E50" s="30" t="s">
        <v>219</v>
      </c>
      <c r="F50" s="30" t="s">
        <v>65</v>
      </c>
      <c r="G50" s="30" t="s">
        <v>218</v>
      </c>
      <c r="H50" s="30" t="s">
        <v>193</v>
      </c>
      <c r="I50" s="30" t="s">
        <v>220</v>
      </c>
      <c r="J50" s="30" t="s">
        <v>221</v>
      </c>
      <c r="L50" s="2">
        <f t="shared" si="0"/>
        <v>0.27828131630458913</v>
      </c>
      <c r="M50" s="2">
        <f t="shared" si="1"/>
        <v>36.678954607834157</v>
      </c>
      <c r="N50" s="2">
        <f t="shared" si="2"/>
        <v>10.207067768944365</v>
      </c>
      <c r="O50" s="2">
        <f t="shared" si="3"/>
        <v>-7.2999999999999995E-2</v>
      </c>
      <c r="V50">
        <v>24</v>
      </c>
    </row>
    <row r="51" spans="1:22" x14ac:dyDescent="0.3">
      <c r="A51" s="30">
        <v>2085</v>
      </c>
      <c r="B51" s="30" t="s">
        <v>143</v>
      </c>
      <c r="C51" s="31" t="s">
        <v>137</v>
      </c>
      <c r="D51" s="30" t="s">
        <v>239</v>
      </c>
      <c r="E51" s="30" t="s">
        <v>114</v>
      </c>
      <c r="F51" s="30" t="s">
        <v>27</v>
      </c>
      <c r="G51" s="30" t="s">
        <v>66</v>
      </c>
      <c r="H51" s="30" t="s">
        <v>222</v>
      </c>
      <c r="I51" s="30" t="s">
        <v>187</v>
      </c>
      <c r="J51" s="30" t="s">
        <v>223</v>
      </c>
      <c r="L51" s="2">
        <f t="shared" si="0"/>
        <v>0.28488862740785659</v>
      </c>
      <c r="M51" s="2">
        <f t="shared" si="1"/>
        <v>38.250690367429698</v>
      </c>
      <c r="N51" s="2">
        <f t="shared" si="2"/>
        <v>10.897186676179969</v>
      </c>
      <c r="O51" s="2">
        <f t="shared" si="3"/>
        <v>-7.2999999999999995E-2</v>
      </c>
      <c r="V51">
        <v>24</v>
      </c>
    </row>
    <row r="52" spans="1:22" x14ac:dyDescent="0.3">
      <c r="A52" s="30">
        <v>2085</v>
      </c>
      <c r="B52" s="30" t="s">
        <v>144</v>
      </c>
      <c r="C52" s="31" t="s">
        <v>137</v>
      </c>
      <c r="D52" s="30" t="s">
        <v>239</v>
      </c>
      <c r="E52" s="30" t="s">
        <v>224</v>
      </c>
      <c r="F52" s="30" t="s">
        <v>16</v>
      </c>
      <c r="G52" s="30" t="s">
        <v>56</v>
      </c>
      <c r="H52" s="30" t="s">
        <v>225</v>
      </c>
      <c r="I52" s="30" t="s">
        <v>226</v>
      </c>
      <c r="J52" s="30" t="s">
        <v>227</v>
      </c>
      <c r="L52" s="2">
        <f t="shared" si="0"/>
        <v>0.25835132174875186</v>
      </c>
      <c r="M52" s="2">
        <f t="shared" si="1"/>
        <v>36.343917551613934</v>
      </c>
      <c r="N52" s="2">
        <f t="shared" si="2"/>
        <v>9.389499136987121</v>
      </c>
      <c r="O52" s="2">
        <f t="shared" si="3"/>
        <v>-7.2999999999999995E-2</v>
      </c>
      <c r="V52">
        <v>24</v>
      </c>
    </row>
    <row r="53" spans="1:22" x14ac:dyDescent="0.3">
      <c r="A53" s="30">
        <v>2085</v>
      </c>
      <c r="B53" s="30" t="s">
        <v>145</v>
      </c>
      <c r="C53" s="31" t="s">
        <v>137</v>
      </c>
      <c r="D53" s="30" t="s">
        <v>239</v>
      </c>
      <c r="E53" s="30" t="s">
        <v>163</v>
      </c>
      <c r="F53" s="30" t="s">
        <v>133</v>
      </c>
      <c r="G53" s="30" t="s">
        <v>60</v>
      </c>
      <c r="H53" s="30" t="s">
        <v>216</v>
      </c>
      <c r="I53" s="30" t="s">
        <v>228</v>
      </c>
      <c r="J53" s="30" t="s">
        <v>84</v>
      </c>
      <c r="L53" s="2">
        <f t="shared" si="0"/>
        <v>0.27817155973662927</v>
      </c>
      <c r="M53" s="2">
        <f t="shared" si="1"/>
        <v>40.109055296279422</v>
      </c>
      <c r="N53" s="2">
        <f t="shared" si="2"/>
        <v>11.157198471328758</v>
      </c>
      <c r="O53" s="2">
        <f t="shared" si="3"/>
        <v>-7.2999999999999995E-2</v>
      </c>
      <c r="V53">
        <v>24</v>
      </c>
    </row>
    <row r="54" spans="1:22" x14ac:dyDescent="0.3">
      <c r="A54" s="30">
        <v>2085</v>
      </c>
      <c r="B54" s="30" t="s">
        <v>146</v>
      </c>
      <c r="C54" s="31" t="s">
        <v>137</v>
      </c>
      <c r="D54" s="30" t="s">
        <v>239</v>
      </c>
      <c r="E54" s="30" t="s">
        <v>26</v>
      </c>
      <c r="F54" s="30" t="s">
        <v>229</v>
      </c>
      <c r="G54" s="30" t="s">
        <v>103</v>
      </c>
      <c r="H54" s="30" t="s">
        <v>230</v>
      </c>
      <c r="I54" s="30" t="s">
        <v>231</v>
      </c>
      <c r="J54" s="30" t="s">
        <v>232</v>
      </c>
      <c r="L54" s="2">
        <f t="shared" si="0"/>
        <v>0.29550594112598294</v>
      </c>
      <c r="M54" s="2">
        <f t="shared" si="1"/>
        <v>43.825684274094591</v>
      </c>
      <c r="N54" s="2">
        <f t="shared" si="2"/>
        <v>12.950750076906512</v>
      </c>
      <c r="O54" s="2">
        <f t="shared" si="3"/>
        <v>-7.2999999999999995E-2</v>
      </c>
      <c r="V54">
        <v>24</v>
      </c>
    </row>
    <row r="55" spans="1:22" x14ac:dyDescent="0.3">
      <c r="A55" s="30">
        <v>2085</v>
      </c>
      <c r="B55" s="30" t="s">
        <v>147</v>
      </c>
      <c r="C55" s="31" t="s">
        <v>137</v>
      </c>
      <c r="D55" s="30" t="s">
        <v>239</v>
      </c>
      <c r="E55" s="30" t="s">
        <v>188</v>
      </c>
      <c r="F55" s="30" t="s">
        <v>102</v>
      </c>
      <c r="G55" s="30" t="s">
        <v>51</v>
      </c>
      <c r="H55" s="30" t="s">
        <v>186</v>
      </c>
      <c r="I55" s="30" t="s">
        <v>233</v>
      </c>
      <c r="J55" s="30" t="s">
        <v>234</v>
      </c>
      <c r="L55" s="2">
        <f t="shared" si="0"/>
        <v>0.28182692925662806</v>
      </c>
      <c r="M55" s="2">
        <f t="shared" si="1"/>
        <v>35.568049091596258</v>
      </c>
      <c r="N55" s="2">
        <f t="shared" si="2"/>
        <v>10.024034055133573</v>
      </c>
      <c r="O55" s="2">
        <f t="shared" si="3"/>
        <v>-7.2999999999999995E-2</v>
      </c>
      <c r="V55">
        <v>24</v>
      </c>
    </row>
    <row r="56" spans="1:22" x14ac:dyDescent="0.3">
      <c r="A56" s="30">
        <v>2085</v>
      </c>
      <c r="B56" s="30" t="s">
        <v>148</v>
      </c>
      <c r="C56" s="31" t="s">
        <v>137</v>
      </c>
      <c r="D56" s="30" t="s">
        <v>239</v>
      </c>
      <c r="E56" s="30" t="s">
        <v>114</v>
      </c>
      <c r="F56" s="30" t="s">
        <v>195</v>
      </c>
      <c r="G56" s="30" t="s">
        <v>51</v>
      </c>
      <c r="H56" s="30" t="s">
        <v>121</v>
      </c>
      <c r="I56" s="30" t="s">
        <v>233</v>
      </c>
      <c r="J56" s="30" t="s">
        <v>235</v>
      </c>
      <c r="L56" s="2">
        <f t="shared" si="0"/>
        <v>0.30180692402691023</v>
      </c>
      <c r="M56" s="2">
        <f t="shared" si="1"/>
        <v>39.422067750106571</v>
      </c>
      <c r="N56" s="2">
        <f t="shared" si="2"/>
        <v>11.897853006440121</v>
      </c>
      <c r="O56" s="2">
        <f t="shared" si="3"/>
        <v>-7.2999999999999995E-2</v>
      </c>
      <c r="V56">
        <v>24</v>
      </c>
    </row>
    <row r="57" spans="1:22" x14ac:dyDescent="0.3">
      <c r="A57" s="30">
        <v>2085</v>
      </c>
      <c r="B57" s="30" t="s">
        <v>149</v>
      </c>
      <c r="C57" s="31" t="s">
        <v>137</v>
      </c>
      <c r="D57" s="30" t="s">
        <v>239</v>
      </c>
      <c r="E57" s="30" t="s">
        <v>182</v>
      </c>
      <c r="F57" s="30" t="s">
        <v>119</v>
      </c>
      <c r="G57" s="30" t="s">
        <v>236</v>
      </c>
      <c r="H57" s="30" t="s">
        <v>237</v>
      </c>
      <c r="I57" s="30" t="s">
        <v>238</v>
      </c>
      <c r="J57" s="30" t="s">
        <v>235</v>
      </c>
      <c r="L57" s="2">
        <f t="shared" si="0"/>
        <v>0.31703984328138823</v>
      </c>
      <c r="M57" s="2">
        <f t="shared" si="1"/>
        <v>43.122336943448929</v>
      </c>
      <c r="N57" s="2">
        <f t="shared" si="2"/>
        <v>13.671498946478266</v>
      </c>
      <c r="O57" s="2">
        <f t="shared" si="3"/>
        <v>-7.2999999999999995E-2</v>
      </c>
      <c r="V57">
        <v>24</v>
      </c>
    </row>
    <row r="58" spans="1:22" x14ac:dyDescent="0.3">
      <c r="A58" s="30">
        <v>2014</v>
      </c>
      <c r="B58" s="30" t="s">
        <v>137</v>
      </c>
      <c r="C58" s="31" t="s">
        <v>137</v>
      </c>
      <c r="D58" s="30" t="s">
        <v>299</v>
      </c>
      <c r="E58" s="30" t="s">
        <v>240</v>
      </c>
      <c r="F58" s="30" t="s">
        <v>241</v>
      </c>
      <c r="G58" s="30" t="s">
        <v>242</v>
      </c>
      <c r="H58" s="30" t="s">
        <v>243</v>
      </c>
      <c r="I58" s="30">
        <v>0</v>
      </c>
      <c r="J58" s="30">
        <v>0</v>
      </c>
      <c r="L58" s="2">
        <f t="shared" si="0"/>
        <v>0.23400000000000001</v>
      </c>
      <c r="M58" s="2">
        <f t="shared" si="1"/>
        <v>26.999941317549396</v>
      </c>
      <c r="N58" s="2">
        <f t="shared" si="2"/>
        <v>6.3179862683065595</v>
      </c>
      <c r="O58" s="2">
        <f t="shared" si="3"/>
        <v>-7.2999999999999995E-2</v>
      </c>
      <c r="V58">
        <v>24</v>
      </c>
    </row>
    <row r="59" spans="1:22" x14ac:dyDescent="0.3">
      <c r="A59" s="30">
        <v>2030</v>
      </c>
      <c r="B59" s="30" t="s">
        <v>150</v>
      </c>
      <c r="C59" s="31" t="s">
        <v>137</v>
      </c>
      <c r="D59" s="30" t="s">
        <v>299</v>
      </c>
      <c r="E59" s="30" t="s">
        <v>244</v>
      </c>
      <c r="F59" s="30" t="s">
        <v>245</v>
      </c>
      <c r="G59" s="30" t="s">
        <v>246</v>
      </c>
      <c r="H59" s="30" t="s">
        <v>118</v>
      </c>
      <c r="I59" s="30">
        <v>0</v>
      </c>
      <c r="J59" s="30">
        <v>0</v>
      </c>
      <c r="L59" s="2">
        <f t="shared" si="0"/>
        <v>0.23</v>
      </c>
      <c r="M59" s="2">
        <f t="shared" si="1"/>
        <v>25.398085557201455</v>
      </c>
      <c r="N59" s="2">
        <f t="shared" si="2"/>
        <v>5.8415596781563348</v>
      </c>
      <c r="O59" s="2">
        <f t="shared" si="3"/>
        <v>-7.2999999999999995E-2</v>
      </c>
      <c r="V59">
        <v>24</v>
      </c>
    </row>
    <row r="60" spans="1:22" x14ac:dyDescent="0.3">
      <c r="A60" s="30">
        <v>2030</v>
      </c>
      <c r="B60" s="30" t="s">
        <v>151</v>
      </c>
      <c r="C60" s="31" t="s">
        <v>137</v>
      </c>
      <c r="D60" s="30" t="s">
        <v>299</v>
      </c>
      <c r="E60" s="30" t="s">
        <v>247</v>
      </c>
      <c r="F60" s="30" t="s">
        <v>248</v>
      </c>
      <c r="G60" s="30" t="s">
        <v>249</v>
      </c>
      <c r="H60" s="30" t="s">
        <v>250</v>
      </c>
      <c r="I60" s="30">
        <v>0</v>
      </c>
      <c r="J60" s="30">
        <v>0</v>
      </c>
      <c r="L60" s="2">
        <f t="shared" si="0"/>
        <v>0.23300000000000001</v>
      </c>
      <c r="M60" s="2">
        <f t="shared" si="1"/>
        <v>25.923355680427548</v>
      </c>
      <c r="N60" s="2">
        <f t="shared" si="2"/>
        <v>6.0401418735396186</v>
      </c>
      <c r="O60" s="2">
        <f t="shared" si="3"/>
        <v>-7.2999999999999995E-2</v>
      </c>
      <c r="V60">
        <v>24</v>
      </c>
    </row>
    <row r="61" spans="1:22" x14ac:dyDescent="0.3">
      <c r="A61" s="30">
        <v>2030</v>
      </c>
      <c r="B61" s="30" t="s">
        <v>152</v>
      </c>
      <c r="C61" s="31" t="s">
        <v>137</v>
      </c>
      <c r="D61" s="30" t="s">
        <v>299</v>
      </c>
      <c r="E61" s="30" t="s">
        <v>251</v>
      </c>
      <c r="F61" s="30" t="s">
        <v>252</v>
      </c>
      <c r="G61" s="30" t="s">
        <v>253</v>
      </c>
      <c r="H61" s="30" t="s">
        <v>40</v>
      </c>
      <c r="I61" s="30">
        <v>0</v>
      </c>
      <c r="J61" s="30">
        <v>0</v>
      </c>
      <c r="L61" s="2">
        <f t="shared" si="0"/>
        <v>0.23599999999999999</v>
      </c>
      <c r="M61" s="2">
        <f t="shared" si="1"/>
        <v>26.141002957301829</v>
      </c>
      <c r="N61" s="2">
        <f t="shared" si="2"/>
        <v>6.1692766979232312</v>
      </c>
      <c r="O61" s="2">
        <f t="shared" si="3"/>
        <v>-7.2999999999999995E-2</v>
      </c>
      <c r="V61">
        <v>24</v>
      </c>
    </row>
    <row r="62" spans="1:22" x14ac:dyDescent="0.3">
      <c r="A62" s="30">
        <v>2050</v>
      </c>
      <c r="B62" s="30" t="s">
        <v>138</v>
      </c>
      <c r="C62" s="31" t="s">
        <v>137</v>
      </c>
      <c r="D62" s="30" t="s">
        <v>299</v>
      </c>
      <c r="E62" s="30" t="s">
        <v>254</v>
      </c>
      <c r="F62" s="30" t="s">
        <v>255</v>
      </c>
      <c r="G62" s="30" t="s">
        <v>249</v>
      </c>
      <c r="H62" s="30" t="s">
        <v>243</v>
      </c>
      <c r="I62" s="30">
        <v>0</v>
      </c>
      <c r="J62" s="30">
        <v>0</v>
      </c>
      <c r="L62" s="2">
        <f t="shared" si="0"/>
        <v>0.23400000000000001</v>
      </c>
      <c r="M62" s="2">
        <f t="shared" si="1"/>
        <v>25.262189202116652</v>
      </c>
      <c r="N62" s="2">
        <f t="shared" si="2"/>
        <v>5.9113522732952966</v>
      </c>
      <c r="O62" s="2">
        <f t="shared" si="3"/>
        <v>-7.2999999999999995E-2</v>
      </c>
      <c r="V62">
        <v>24</v>
      </c>
    </row>
    <row r="63" spans="1:22" x14ac:dyDescent="0.3">
      <c r="A63" s="30">
        <v>2050</v>
      </c>
      <c r="B63" s="30" t="s">
        <v>139</v>
      </c>
      <c r="C63" s="31" t="s">
        <v>137</v>
      </c>
      <c r="D63" s="30" t="s">
        <v>299</v>
      </c>
      <c r="E63" s="30" t="s">
        <v>254</v>
      </c>
      <c r="F63" s="30" t="s">
        <v>241</v>
      </c>
      <c r="G63" s="30" t="s">
        <v>253</v>
      </c>
      <c r="H63" s="30" t="s">
        <v>40</v>
      </c>
      <c r="I63" s="30">
        <v>0</v>
      </c>
      <c r="J63" s="30">
        <v>0</v>
      </c>
      <c r="L63" s="2">
        <f t="shared" si="0"/>
        <v>0.23599999999999999</v>
      </c>
      <c r="M63" s="2">
        <f t="shared" si="1"/>
        <v>25.718203736931933</v>
      </c>
      <c r="N63" s="2">
        <f t="shared" si="2"/>
        <v>6.0694960819159363</v>
      </c>
      <c r="O63" s="2">
        <f t="shared" si="3"/>
        <v>-7.2999999999999995E-2</v>
      </c>
      <c r="V63">
        <v>24</v>
      </c>
    </row>
    <row r="64" spans="1:22" x14ac:dyDescent="0.3">
      <c r="A64" s="30">
        <v>2050</v>
      </c>
      <c r="B64" s="30" t="s">
        <v>140</v>
      </c>
      <c r="C64" s="31" t="s">
        <v>137</v>
      </c>
      <c r="D64" s="30" t="s">
        <v>299</v>
      </c>
      <c r="E64" s="30" t="s">
        <v>244</v>
      </c>
      <c r="F64" s="30" t="s">
        <v>256</v>
      </c>
      <c r="G64" s="30" t="s">
        <v>257</v>
      </c>
      <c r="H64" s="30" t="s">
        <v>9</v>
      </c>
      <c r="I64" s="30">
        <v>0</v>
      </c>
      <c r="J64" s="30">
        <v>0</v>
      </c>
      <c r="L64" s="2">
        <f t="shared" si="0"/>
        <v>0.23899999999999999</v>
      </c>
      <c r="M64" s="2">
        <f t="shared" si="1"/>
        <v>26.085669873386784</v>
      </c>
      <c r="N64" s="2">
        <f t="shared" si="2"/>
        <v>6.2344750997394414</v>
      </c>
      <c r="O64" s="2">
        <f t="shared" si="3"/>
        <v>-7.2999999999999995E-2</v>
      </c>
      <c r="V64">
        <v>24</v>
      </c>
    </row>
    <row r="65" spans="1:22" x14ac:dyDescent="0.3">
      <c r="A65" s="30">
        <v>2050</v>
      </c>
      <c r="B65" s="30" t="s">
        <v>141</v>
      </c>
      <c r="C65" s="31" t="s">
        <v>137</v>
      </c>
      <c r="D65" s="30" t="s">
        <v>299</v>
      </c>
      <c r="E65" s="30" t="s">
        <v>258</v>
      </c>
      <c r="F65" s="30" t="s">
        <v>259</v>
      </c>
      <c r="G65" s="30" t="s">
        <v>260</v>
      </c>
      <c r="H65" s="30" t="s">
        <v>261</v>
      </c>
      <c r="I65" s="30">
        <v>0</v>
      </c>
      <c r="J65" s="30">
        <v>0</v>
      </c>
      <c r="L65" s="2">
        <f t="shared" si="0"/>
        <v>0.23200000000000001</v>
      </c>
      <c r="M65" s="2">
        <f t="shared" si="1"/>
        <v>25.772248737500025</v>
      </c>
      <c r="N65" s="2">
        <f t="shared" si="2"/>
        <v>5.9791617071000065</v>
      </c>
      <c r="O65" s="2">
        <f t="shared" si="3"/>
        <v>-7.2999999999999995E-2</v>
      </c>
      <c r="V65">
        <v>24</v>
      </c>
    </row>
    <row r="66" spans="1:22" x14ac:dyDescent="0.3">
      <c r="A66" s="30">
        <v>2050</v>
      </c>
      <c r="B66" s="30" t="s">
        <v>142</v>
      </c>
      <c r="C66" s="31" t="s">
        <v>137</v>
      </c>
      <c r="D66" s="30" t="s">
        <v>299</v>
      </c>
      <c r="E66" s="30" t="s">
        <v>258</v>
      </c>
      <c r="F66" s="30" t="s">
        <v>262</v>
      </c>
      <c r="G66" s="30" t="s">
        <v>263</v>
      </c>
      <c r="H66" s="30" t="s">
        <v>26</v>
      </c>
      <c r="I66" s="30">
        <v>0</v>
      </c>
      <c r="J66" s="30">
        <v>0</v>
      </c>
      <c r="L66" s="2">
        <f t="shared" si="0"/>
        <v>0.23499999999999999</v>
      </c>
      <c r="M66" s="2">
        <f t="shared" si="1"/>
        <v>26.22654374879998</v>
      </c>
      <c r="N66" s="2">
        <f t="shared" si="2"/>
        <v>6.1632377809679948</v>
      </c>
      <c r="O66" s="2">
        <f t="shared" si="3"/>
        <v>-7.2999999999999995E-2</v>
      </c>
      <c r="V66">
        <v>24</v>
      </c>
    </row>
    <row r="67" spans="1:22" x14ac:dyDescent="0.3">
      <c r="A67" s="30">
        <v>2050</v>
      </c>
      <c r="B67" s="30" t="s">
        <v>143</v>
      </c>
      <c r="C67" s="31" t="s">
        <v>137</v>
      </c>
      <c r="D67" s="30" t="s">
        <v>299</v>
      </c>
      <c r="E67" s="30" t="s">
        <v>264</v>
      </c>
      <c r="F67" s="30" t="s">
        <v>241</v>
      </c>
      <c r="G67" s="30" t="s">
        <v>249</v>
      </c>
      <c r="H67" s="30" t="s">
        <v>265</v>
      </c>
      <c r="I67" s="30">
        <v>0</v>
      </c>
      <c r="J67" s="30">
        <v>0</v>
      </c>
      <c r="L67" s="2">
        <f t="shared" ref="L67:L85" si="4">H67 +I67*LN(V67) + J67 * LN(V67)^2</f>
        <v>0.23699999999999999</v>
      </c>
      <c r="M67" s="2">
        <f t="shared" ref="M67:M85" si="5">(E67 + F67 * LN(V67))^(1/G67)</f>
        <v>26.877233049144692</v>
      </c>
      <c r="N67" s="2">
        <f t="shared" ref="N67:N85" si="6">M67*L67</f>
        <v>6.3699042326472917</v>
      </c>
      <c r="O67" s="2">
        <f t="shared" ref="O67:O85" si="7">IF(V$2&lt;=240,-0.09 + 0.017*V$2/24,0)</f>
        <v>-7.2999999999999995E-2</v>
      </c>
      <c r="V67">
        <v>24</v>
      </c>
    </row>
    <row r="68" spans="1:22" x14ac:dyDescent="0.3">
      <c r="A68" s="30">
        <v>2050</v>
      </c>
      <c r="B68" s="30" t="s">
        <v>144</v>
      </c>
      <c r="C68" s="31" t="s">
        <v>137</v>
      </c>
      <c r="D68" s="30" t="s">
        <v>299</v>
      </c>
      <c r="E68" s="30" t="s">
        <v>266</v>
      </c>
      <c r="F68" s="30" t="s">
        <v>267</v>
      </c>
      <c r="G68" s="30" t="s">
        <v>242</v>
      </c>
      <c r="H68" s="30" t="s">
        <v>26</v>
      </c>
      <c r="I68" s="30">
        <v>0</v>
      </c>
      <c r="J68" s="30">
        <v>0</v>
      </c>
      <c r="L68" s="2">
        <f t="shared" si="4"/>
        <v>0.23499999999999999</v>
      </c>
      <c r="M68" s="2">
        <f t="shared" si="5"/>
        <v>26.322072636914758</v>
      </c>
      <c r="N68" s="2">
        <f t="shared" si="6"/>
        <v>6.1856870696749677</v>
      </c>
      <c r="O68" s="2">
        <f t="shared" si="7"/>
        <v>-7.2999999999999995E-2</v>
      </c>
      <c r="V68">
        <v>24</v>
      </c>
    </row>
    <row r="69" spans="1:22" x14ac:dyDescent="0.3">
      <c r="A69" s="30">
        <v>2050</v>
      </c>
      <c r="B69" s="30" t="s">
        <v>145</v>
      </c>
      <c r="C69" s="31" t="s">
        <v>137</v>
      </c>
      <c r="D69" s="30" t="s">
        <v>299</v>
      </c>
      <c r="E69" s="30" t="s">
        <v>268</v>
      </c>
      <c r="F69" s="30" t="s">
        <v>269</v>
      </c>
      <c r="G69" s="30" t="s">
        <v>270</v>
      </c>
      <c r="H69" s="30" t="s">
        <v>37</v>
      </c>
      <c r="I69" s="30">
        <v>0</v>
      </c>
      <c r="J69" s="30">
        <v>0</v>
      </c>
      <c r="L69" s="2">
        <f t="shared" si="4"/>
        <v>0.24099999999999999</v>
      </c>
      <c r="M69" s="2">
        <f t="shared" si="5"/>
        <v>27.087894986693833</v>
      </c>
      <c r="N69" s="2">
        <f t="shared" si="6"/>
        <v>6.5281826917932131</v>
      </c>
      <c r="O69" s="2">
        <f t="shared" si="7"/>
        <v>-7.2999999999999995E-2</v>
      </c>
      <c r="V69">
        <v>24</v>
      </c>
    </row>
    <row r="70" spans="1:22" x14ac:dyDescent="0.3">
      <c r="A70" s="30">
        <v>2050</v>
      </c>
      <c r="B70" s="30" t="s">
        <v>146</v>
      </c>
      <c r="C70" s="31" t="s">
        <v>137</v>
      </c>
      <c r="D70" s="30" t="s">
        <v>299</v>
      </c>
      <c r="E70" s="30" t="s">
        <v>266</v>
      </c>
      <c r="F70" s="30" t="s">
        <v>271</v>
      </c>
      <c r="G70" s="30" t="s">
        <v>272</v>
      </c>
      <c r="H70" s="30" t="s">
        <v>32</v>
      </c>
      <c r="I70" s="30">
        <v>0</v>
      </c>
      <c r="J70" s="30">
        <v>0</v>
      </c>
      <c r="L70" s="2">
        <f t="shared" si="4"/>
        <v>0.247</v>
      </c>
      <c r="M70" s="2">
        <f t="shared" si="5"/>
        <v>28.06226988636941</v>
      </c>
      <c r="N70" s="2">
        <f t="shared" si="6"/>
        <v>6.9313806619332441</v>
      </c>
      <c r="O70" s="2">
        <f t="shared" si="7"/>
        <v>-7.2999999999999995E-2</v>
      </c>
      <c r="V70">
        <v>24</v>
      </c>
    </row>
    <row r="71" spans="1:22" x14ac:dyDescent="0.3">
      <c r="A71" s="30">
        <v>2050</v>
      </c>
      <c r="B71" s="30" t="s">
        <v>147</v>
      </c>
      <c r="C71" s="31" t="s">
        <v>137</v>
      </c>
      <c r="D71" s="30" t="s">
        <v>299</v>
      </c>
      <c r="E71" s="30" t="s">
        <v>273</v>
      </c>
      <c r="F71" s="30" t="s">
        <v>255</v>
      </c>
      <c r="G71" s="30" t="s">
        <v>249</v>
      </c>
      <c r="H71" s="30" t="s">
        <v>274</v>
      </c>
      <c r="I71" s="30">
        <v>0</v>
      </c>
      <c r="J71" s="30">
        <v>0</v>
      </c>
      <c r="L71" s="2">
        <f t="shared" si="4"/>
        <v>0.22700000000000001</v>
      </c>
      <c r="M71" s="2">
        <f t="shared" si="5"/>
        <v>26.770065348745959</v>
      </c>
      <c r="N71" s="2">
        <f t="shared" si="6"/>
        <v>6.0768048341653325</v>
      </c>
      <c r="O71" s="2">
        <f t="shared" si="7"/>
        <v>-7.2999999999999995E-2</v>
      </c>
      <c r="V71">
        <v>24</v>
      </c>
    </row>
    <row r="72" spans="1:22" x14ac:dyDescent="0.3">
      <c r="A72" s="30">
        <v>2050</v>
      </c>
      <c r="B72" s="30" t="s">
        <v>148</v>
      </c>
      <c r="C72" s="31" t="s">
        <v>137</v>
      </c>
      <c r="D72" s="30" t="s">
        <v>299</v>
      </c>
      <c r="E72" s="30" t="s">
        <v>264</v>
      </c>
      <c r="F72" s="30" t="s">
        <v>256</v>
      </c>
      <c r="G72" s="30" t="s">
        <v>257</v>
      </c>
      <c r="H72" s="30" t="s">
        <v>250</v>
      </c>
      <c r="I72" s="30">
        <v>0</v>
      </c>
      <c r="J72" s="30">
        <v>0</v>
      </c>
      <c r="L72" s="2">
        <f t="shared" si="4"/>
        <v>0.23300000000000001</v>
      </c>
      <c r="M72" s="2">
        <f t="shared" si="5"/>
        <v>27.93553001563312</v>
      </c>
      <c r="N72" s="2">
        <f t="shared" si="6"/>
        <v>6.508978493642517</v>
      </c>
      <c r="O72" s="2">
        <f t="shared" si="7"/>
        <v>-7.2999999999999995E-2</v>
      </c>
      <c r="V72">
        <v>24</v>
      </c>
    </row>
    <row r="73" spans="1:22" x14ac:dyDescent="0.3">
      <c r="A73" s="30">
        <v>2050</v>
      </c>
      <c r="B73" s="30" t="s">
        <v>149</v>
      </c>
      <c r="C73" s="31" t="s">
        <v>137</v>
      </c>
      <c r="D73" s="30" t="s">
        <v>299</v>
      </c>
      <c r="E73" s="30" t="s">
        <v>258</v>
      </c>
      <c r="F73" s="30" t="s">
        <v>275</v>
      </c>
      <c r="G73" s="30" t="s">
        <v>276</v>
      </c>
      <c r="H73" s="30" t="s">
        <v>9</v>
      </c>
      <c r="I73" s="30">
        <v>0</v>
      </c>
      <c r="J73" s="30">
        <v>0</v>
      </c>
      <c r="L73" s="2">
        <f t="shared" si="4"/>
        <v>0.23899999999999999</v>
      </c>
      <c r="M73" s="2">
        <f t="shared" si="5"/>
        <v>28.746143086893408</v>
      </c>
      <c r="N73" s="2">
        <f t="shared" si="6"/>
        <v>6.8703281977675239</v>
      </c>
      <c r="O73" s="2">
        <f t="shared" si="7"/>
        <v>-7.2999999999999995E-2</v>
      </c>
      <c r="V73">
        <v>24</v>
      </c>
    </row>
    <row r="74" spans="1:22" x14ac:dyDescent="0.3">
      <c r="A74" s="30">
        <v>2085</v>
      </c>
      <c r="B74" s="30" t="s">
        <v>138</v>
      </c>
      <c r="C74" s="31" t="s">
        <v>137</v>
      </c>
      <c r="D74" s="30" t="s">
        <v>299</v>
      </c>
      <c r="E74" s="30" t="s">
        <v>244</v>
      </c>
      <c r="F74" s="30" t="s">
        <v>277</v>
      </c>
      <c r="G74" s="30" t="s">
        <v>278</v>
      </c>
      <c r="H74" s="30" t="s">
        <v>279</v>
      </c>
      <c r="I74" s="30">
        <v>0</v>
      </c>
      <c r="J74" s="30">
        <v>0</v>
      </c>
      <c r="L74" s="2">
        <f t="shared" si="4"/>
        <v>0.22900000000000001</v>
      </c>
      <c r="M74" s="2">
        <f t="shared" si="5"/>
        <v>25.774600055698937</v>
      </c>
      <c r="N74" s="2">
        <f t="shared" si="6"/>
        <v>5.9023834127550563</v>
      </c>
      <c r="O74" s="2">
        <f t="shared" si="7"/>
        <v>-7.2999999999999995E-2</v>
      </c>
      <c r="V74">
        <v>24</v>
      </c>
    </row>
    <row r="75" spans="1:22" x14ac:dyDescent="0.3">
      <c r="A75" s="30">
        <v>2085</v>
      </c>
      <c r="B75" s="30" t="s">
        <v>139</v>
      </c>
      <c r="C75" s="31" t="s">
        <v>137</v>
      </c>
      <c r="D75" s="30" t="s">
        <v>299</v>
      </c>
      <c r="E75" s="30" t="s">
        <v>251</v>
      </c>
      <c r="F75" s="30" t="s">
        <v>280</v>
      </c>
      <c r="G75" s="30" t="s">
        <v>257</v>
      </c>
      <c r="H75" s="30" t="s">
        <v>250</v>
      </c>
      <c r="I75" s="30">
        <v>0</v>
      </c>
      <c r="J75" s="30">
        <v>0</v>
      </c>
      <c r="L75" s="2">
        <f t="shared" si="4"/>
        <v>0.23300000000000001</v>
      </c>
      <c r="M75" s="2">
        <f t="shared" si="5"/>
        <v>26.422482128300327</v>
      </c>
      <c r="N75" s="2">
        <f t="shared" si="6"/>
        <v>6.1564383358939763</v>
      </c>
      <c r="O75" s="2">
        <f t="shared" si="7"/>
        <v>-7.2999999999999995E-2</v>
      </c>
      <c r="V75">
        <v>24</v>
      </c>
    </row>
    <row r="76" spans="1:22" x14ac:dyDescent="0.3">
      <c r="A76" s="30">
        <v>2085</v>
      </c>
      <c r="B76" s="30" t="s">
        <v>140</v>
      </c>
      <c r="C76" s="31" t="s">
        <v>137</v>
      </c>
      <c r="D76" s="30" t="s">
        <v>299</v>
      </c>
      <c r="E76" s="30" t="s">
        <v>244</v>
      </c>
      <c r="F76" s="30" t="s">
        <v>281</v>
      </c>
      <c r="G76" s="30" t="s">
        <v>242</v>
      </c>
      <c r="H76" s="30" t="s">
        <v>265</v>
      </c>
      <c r="I76" s="30">
        <v>0</v>
      </c>
      <c r="J76" s="30">
        <v>0</v>
      </c>
      <c r="L76" s="2">
        <f t="shared" si="4"/>
        <v>0.23699999999999999</v>
      </c>
      <c r="M76" s="2">
        <f t="shared" si="5"/>
        <v>26.952662495570738</v>
      </c>
      <c r="N76" s="2">
        <f t="shared" si="6"/>
        <v>6.3877810114502651</v>
      </c>
      <c r="O76" s="2">
        <f t="shared" si="7"/>
        <v>-7.2999999999999995E-2</v>
      </c>
      <c r="V76">
        <v>24</v>
      </c>
    </row>
    <row r="77" spans="1:22" x14ac:dyDescent="0.3">
      <c r="A77" s="30">
        <v>2085</v>
      </c>
      <c r="B77" s="30" t="s">
        <v>141</v>
      </c>
      <c r="C77" s="31" t="s">
        <v>137</v>
      </c>
      <c r="D77" s="30" t="s">
        <v>299</v>
      </c>
      <c r="E77" s="30" t="s">
        <v>282</v>
      </c>
      <c r="F77" s="30" t="s">
        <v>259</v>
      </c>
      <c r="G77" s="30" t="s">
        <v>283</v>
      </c>
      <c r="H77" s="30" t="s">
        <v>284</v>
      </c>
      <c r="I77" s="30">
        <v>0</v>
      </c>
      <c r="J77" s="30">
        <v>0</v>
      </c>
      <c r="L77" s="2">
        <f t="shared" si="4"/>
        <v>0.22800000000000001</v>
      </c>
      <c r="M77" s="2">
        <f t="shared" si="5"/>
        <v>26.163918314720863</v>
      </c>
      <c r="N77" s="2">
        <f t="shared" si="6"/>
        <v>5.9653733757563572</v>
      </c>
      <c r="O77" s="2">
        <f t="shared" si="7"/>
        <v>-7.2999999999999995E-2</v>
      </c>
      <c r="V77">
        <v>24</v>
      </c>
    </row>
    <row r="78" spans="1:22" x14ac:dyDescent="0.3">
      <c r="A78" s="30">
        <v>2085</v>
      </c>
      <c r="B78" s="30" t="s">
        <v>142</v>
      </c>
      <c r="C78" s="31" t="s">
        <v>137</v>
      </c>
      <c r="D78" s="30" t="s">
        <v>299</v>
      </c>
      <c r="E78" s="30" t="s">
        <v>282</v>
      </c>
      <c r="F78" s="30" t="s">
        <v>248</v>
      </c>
      <c r="G78" s="30" t="s">
        <v>285</v>
      </c>
      <c r="H78" s="30" t="s">
        <v>261</v>
      </c>
      <c r="I78" s="30">
        <v>0</v>
      </c>
      <c r="J78" s="30">
        <v>0</v>
      </c>
      <c r="L78" s="2">
        <f t="shared" si="4"/>
        <v>0.23200000000000001</v>
      </c>
      <c r="M78" s="2">
        <f t="shared" si="5"/>
        <v>26.880574915656076</v>
      </c>
      <c r="N78" s="2">
        <f t="shared" si="6"/>
        <v>6.23629338043221</v>
      </c>
      <c r="O78" s="2">
        <f t="shared" si="7"/>
        <v>-7.2999999999999995E-2</v>
      </c>
      <c r="V78">
        <v>24</v>
      </c>
    </row>
    <row r="79" spans="1:22" x14ac:dyDescent="0.3">
      <c r="A79" s="30">
        <v>2085</v>
      </c>
      <c r="B79" s="30" t="s">
        <v>143</v>
      </c>
      <c r="C79" s="31" t="s">
        <v>137</v>
      </c>
      <c r="D79" s="30" t="s">
        <v>299</v>
      </c>
      <c r="E79" s="30" t="s">
        <v>286</v>
      </c>
      <c r="F79" s="30" t="s">
        <v>280</v>
      </c>
      <c r="G79" s="30" t="s">
        <v>260</v>
      </c>
      <c r="H79" s="30" t="s">
        <v>40</v>
      </c>
      <c r="I79" s="30">
        <v>0</v>
      </c>
      <c r="J79" s="30">
        <v>0</v>
      </c>
      <c r="L79" s="2">
        <f t="shared" si="4"/>
        <v>0.23599999999999999</v>
      </c>
      <c r="M79" s="2">
        <f t="shared" si="5"/>
        <v>27.451676343069547</v>
      </c>
      <c r="N79" s="2">
        <f t="shared" si="6"/>
        <v>6.4785956169644123</v>
      </c>
      <c r="O79" s="2">
        <f t="shared" si="7"/>
        <v>-7.2999999999999995E-2</v>
      </c>
      <c r="V79">
        <v>24</v>
      </c>
    </row>
    <row r="80" spans="1:22" x14ac:dyDescent="0.3">
      <c r="A80" s="30">
        <v>2085</v>
      </c>
      <c r="B80" s="30" t="s">
        <v>144</v>
      </c>
      <c r="C80" s="31" t="s">
        <v>137</v>
      </c>
      <c r="D80" s="30" t="s">
        <v>299</v>
      </c>
      <c r="E80" s="30" t="s">
        <v>287</v>
      </c>
      <c r="F80" s="30" t="s">
        <v>288</v>
      </c>
      <c r="G80" s="30" t="s">
        <v>289</v>
      </c>
      <c r="H80" s="30" t="s">
        <v>40</v>
      </c>
      <c r="I80" s="30">
        <v>0</v>
      </c>
      <c r="J80" s="30">
        <v>0</v>
      </c>
      <c r="L80" s="2">
        <f t="shared" si="4"/>
        <v>0.23599999999999999</v>
      </c>
      <c r="M80" s="2">
        <f t="shared" si="5"/>
        <v>27.276244797075243</v>
      </c>
      <c r="N80" s="2">
        <f t="shared" si="6"/>
        <v>6.4371937721097572</v>
      </c>
      <c r="O80" s="2">
        <f t="shared" si="7"/>
        <v>-7.2999999999999995E-2</v>
      </c>
      <c r="V80">
        <v>24</v>
      </c>
    </row>
    <row r="81" spans="1:22" x14ac:dyDescent="0.3">
      <c r="A81" s="30">
        <v>2085</v>
      </c>
      <c r="B81" s="30" t="s">
        <v>145</v>
      </c>
      <c r="C81" s="31" t="s">
        <v>137</v>
      </c>
      <c r="D81" s="30" t="s">
        <v>299</v>
      </c>
      <c r="E81" s="30" t="s">
        <v>290</v>
      </c>
      <c r="F81" s="30" t="s">
        <v>291</v>
      </c>
      <c r="G81" s="30" t="s">
        <v>292</v>
      </c>
      <c r="H81" s="30" t="s">
        <v>15</v>
      </c>
      <c r="I81" s="30">
        <v>0</v>
      </c>
      <c r="J81" s="30">
        <v>0</v>
      </c>
      <c r="L81" s="2">
        <f t="shared" si="4"/>
        <v>0.246</v>
      </c>
      <c r="M81" s="2">
        <f t="shared" si="5"/>
        <v>28.86521750029522</v>
      </c>
      <c r="N81" s="2">
        <f t="shared" si="6"/>
        <v>7.100843505072624</v>
      </c>
      <c r="O81" s="2">
        <f t="shared" si="7"/>
        <v>-7.2999999999999995E-2</v>
      </c>
      <c r="V81">
        <v>24</v>
      </c>
    </row>
    <row r="82" spans="1:22" x14ac:dyDescent="0.3">
      <c r="A82" s="30">
        <v>2085</v>
      </c>
      <c r="B82" s="30" t="s">
        <v>146</v>
      </c>
      <c r="C82" s="31" t="s">
        <v>137</v>
      </c>
      <c r="D82" s="30" t="s">
        <v>299</v>
      </c>
      <c r="E82" s="30" t="s">
        <v>287</v>
      </c>
      <c r="F82" s="30" t="s">
        <v>293</v>
      </c>
      <c r="G82" s="30" t="s">
        <v>294</v>
      </c>
      <c r="H82" s="30" t="s">
        <v>219</v>
      </c>
      <c r="I82" s="30">
        <v>0</v>
      </c>
      <c r="J82" s="30">
        <v>0</v>
      </c>
      <c r="L82" s="2">
        <f t="shared" si="4"/>
        <v>0.255</v>
      </c>
      <c r="M82" s="2">
        <f t="shared" si="5"/>
        <v>30.022795907362571</v>
      </c>
      <c r="N82" s="2">
        <f t="shared" si="6"/>
        <v>7.6558129563774555</v>
      </c>
      <c r="O82" s="2">
        <f t="shared" si="7"/>
        <v>-7.2999999999999995E-2</v>
      </c>
      <c r="V82">
        <v>24</v>
      </c>
    </row>
    <row r="83" spans="1:22" x14ac:dyDescent="0.3">
      <c r="A83" s="30">
        <v>2085</v>
      </c>
      <c r="B83" s="30" t="s">
        <v>147</v>
      </c>
      <c r="C83" s="31" t="s">
        <v>137</v>
      </c>
      <c r="D83" s="30" t="s">
        <v>299</v>
      </c>
      <c r="E83" s="30" t="s">
        <v>295</v>
      </c>
      <c r="F83" s="30" t="s">
        <v>248</v>
      </c>
      <c r="G83" s="30" t="s">
        <v>263</v>
      </c>
      <c r="H83" s="30" t="s">
        <v>296</v>
      </c>
      <c r="I83" s="30">
        <v>0</v>
      </c>
      <c r="J83" s="30">
        <v>0</v>
      </c>
      <c r="L83" s="2">
        <f t="shared" si="4"/>
        <v>0.22600000000000001</v>
      </c>
      <c r="M83" s="2">
        <f t="shared" si="5"/>
        <v>28.171092281729955</v>
      </c>
      <c r="N83" s="2">
        <f t="shared" si="6"/>
        <v>6.36666685567097</v>
      </c>
      <c r="O83" s="2">
        <f t="shared" si="7"/>
        <v>-7.2999999999999995E-2</v>
      </c>
      <c r="V83">
        <v>24</v>
      </c>
    </row>
    <row r="84" spans="1:22" x14ac:dyDescent="0.3">
      <c r="A84" s="30">
        <v>2085</v>
      </c>
      <c r="B84" s="30" t="s">
        <v>148</v>
      </c>
      <c r="C84" s="31" t="s">
        <v>137</v>
      </c>
      <c r="D84" s="30" t="s">
        <v>299</v>
      </c>
      <c r="E84" s="30" t="s">
        <v>282</v>
      </c>
      <c r="F84" s="30" t="s">
        <v>297</v>
      </c>
      <c r="G84" s="30" t="s">
        <v>257</v>
      </c>
      <c r="H84" s="30" t="s">
        <v>40</v>
      </c>
      <c r="I84" s="30">
        <v>0</v>
      </c>
      <c r="J84" s="30">
        <v>0</v>
      </c>
      <c r="L84" s="2">
        <f t="shared" si="4"/>
        <v>0.23599999999999999</v>
      </c>
      <c r="M84" s="2">
        <f t="shared" si="5"/>
        <v>29.87697345063232</v>
      </c>
      <c r="N84" s="2">
        <f t="shared" si="6"/>
        <v>7.0509657343492274</v>
      </c>
      <c r="O84" s="2">
        <f t="shared" si="7"/>
        <v>-7.2999999999999995E-2</v>
      </c>
      <c r="V84">
        <v>24</v>
      </c>
    </row>
    <row r="85" spans="1:22" x14ac:dyDescent="0.3">
      <c r="A85" s="30">
        <v>2085</v>
      </c>
      <c r="B85" s="30" t="s">
        <v>149</v>
      </c>
      <c r="C85" s="31" t="s">
        <v>137</v>
      </c>
      <c r="D85" s="30" t="s">
        <v>299</v>
      </c>
      <c r="E85" s="30" t="s">
        <v>298</v>
      </c>
      <c r="F85" s="30" t="s">
        <v>271</v>
      </c>
      <c r="G85" s="30" t="s">
        <v>242</v>
      </c>
      <c r="H85" s="30" t="s">
        <v>163</v>
      </c>
      <c r="I85" s="30">
        <v>0</v>
      </c>
      <c r="J85" s="30">
        <v>0</v>
      </c>
      <c r="L85" s="2">
        <f t="shared" si="4"/>
        <v>0.245</v>
      </c>
      <c r="M85" s="2">
        <f t="shared" si="5"/>
        <v>31.48129371539331</v>
      </c>
      <c r="N85" s="2">
        <f t="shared" si="6"/>
        <v>7.712916960271361</v>
      </c>
      <c r="O85" s="2">
        <f t="shared" si="7"/>
        <v>-7.2999999999999995E-2</v>
      </c>
      <c r="V85">
        <v>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4"/>
  <sheetViews>
    <sheetView workbookViewId="0">
      <selection activeCell="G15" sqref="G15"/>
    </sheetView>
  </sheetViews>
  <sheetFormatPr defaultRowHeight="14.4" x14ac:dyDescent="0.3"/>
  <cols>
    <col min="1" max="3" width="8.88671875" style="12"/>
    <col min="4" max="4" width="12.44140625" style="12" bestFit="1" customWidth="1"/>
    <col min="5" max="10" width="12.44140625" style="12" customWidth="1"/>
    <col min="11" max="11" width="10" style="28" bestFit="1" customWidth="1"/>
    <col min="12" max="12" width="12.33203125" style="36" bestFit="1" customWidth="1"/>
    <col min="13" max="13" width="10.5546875" style="28" bestFit="1" customWidth="1"/>
    <col min="14" max="15" width="8.88671875" style="28"/>
    <col min="16" max="16" width="12.33203125" style="28" bestFit="1" customWidth="1"/>
    <col min="17" max="17" width="10.5546875" style="28" bestFit="1" customWidth="1"/>
    <col min="18" max="18" width="13.109375" style="28" bestFit="1" customWidth="1"/>
    <col min="19" max="19" width="8.88671875" style="28"/>
    <col min="21" max="21" width="10.5546875" bestFit="1" customWidth="1"/>
  </cols>
  <sheetData>
    <row r="1" spans="1:19" x14ac:dyDescent="0.3">
      <c r="A1" s="32" t="s">
        <v>1</v>
      </c>
      <c r="B1" s="32" t="s">
        <v>0</v>
      </c>
      <c r="C1" s="32" t="s">
        <v>8</v>
      </c>
      <c r="D1" s="32" t="s">
        <v>153</v>
      </c>
      <c r="E1" s="32" t="s">
        <v>320</v>
      </c>
      <c r="F1" s="32" t="s">
        <v>321</v>
      </c>
      <c r="G1" s="32" t="s">
        <v>322</v>
      </c>
      <c r="H1" s="32" t="s">
        <v>323</v>
      </c>
      <c r="I1" s="32" t="s">
        <v>324</v>
      </c>
      <c r="J1" s="32" t="s">
        <v>325</v>
      </c>
      <c r="K1" s="34"/>
      <c r="L1" s="35"/>
      <c r="M1" s="34"/>
      <c r="N1" s="34"/>
      <c r="O1" s="34"/>
      <c r="P1" s="34"/>
      <c r="Q1" s="34"/>
      <c r="R1" s="34"/>
      <c r="S1" s="34"/>
    </row>
    <row r="2" spans="1:19" x14ac:dyDescent="0.3">
      <c r="A2" s="33">
        <v>2014</v>
      </c>
      <c r="B2" s="33" t="s">
        <v>137</v>
      </c>
      <c r="C2" s="33" t="s">
        <v>137</v>
      </c>
      <c r="D2" s="33" t="s">
        <v>154</v>
      </c>
      <c r="E2" s="33">
        <v>7.3390000000000004</v>
      </c>
      <c r="F2" s="33">
        <v>0.84799999999999998</v>
      </c>
      <c r="G2" s="33">
        <v>2.8439999999999999</v>
      </c>
      <c r="H2" s="33">
        <v>-3.3599999999999998E-2</v>
      </c>
      <c r="I2" s="33">
        <v>-0.26400000000000001</v>
      </c>
      <c r="J2" s="33">
        <v>6.3600000000000004E-2</v>
      </c>
      <c r="R2" s="37"/>
    </row>
    <row r="3" spans="1:19" x14ac:dyDescent="0.3">
      <c r="A3" s="33">
        <v>2014</v>
      </c>
      <c r="B3" s="33" t="s">
        <v>137</v>
      </c>
      <c r="C3" s="33" t="s">
        <v>137</v>
      </c>
      <c r="D3" s="33" t="s">
        <v>299</v>
      </c>
      <c r="E3" s="33">
        <v>4.883</v>
      </c>
      <c r="F3" s="33">
        <v>-5.5869999999999997</v>
      </c>
      <c r="G3" s="33">
        <v>3.5259999999999998</v>
      </c>
      <c r="H3" s="33">
        <v>-0.29399999999999998</v>
      </c>
      <c r="I3" s="33">
        <v>0.1474</v>
      </c>
      <c r="J3" s="33">
        <v>-1.9199999999999998E-2</v>
      </c>
      <c r="R3" s="37"/>
    </row>
    <row r="4" spans="1:19" x14ac:dyDescent="0.3">
      <c r="A4" s="33">
        <v>2014</v>
      </c>
      <c r="B4" s="33" t="s">
        <v>137</v>
      </c>
      <c r="C4" s="33" t="s">
        <v>137</v>
      </c>
      <c r="D4" s="33" t="s">
        <v>239</v>
      </c>
      <c r="E4" s="33">
        <v>7.3390000000000004</v>
      </c>
      <c r="F4" s="33">
        <v>0.84799999999999998</v>
      </c>
      <c r="G4" s="33">
        <v>2.8439999999999999</v>
      </c>
      <c r="H4" s="33">
        <v>-3.3599999999999998E-2</v>
      </c>
      <c r="I4" s="33">
        <v>-0.26400000000000001</v>
      </c>
      <c r="J4" s="33">
        <v>6.3600000000000004E-2</v>
      </c>
      <c r="R4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A3A5-EFAF-4298-8658-FAAA71433CCB}">
  <sheetPr codeName="Sheet3"/>
  <dimension ref="A1:R218"/>
  <sheetViews>
    <sheetView workbookViewId="0">
      <pane ySplit="576" topLeftCell="A10" activePane="bottomLeft"/>
      <selection activeCell="F1" sqref="F1:F1048576"/>
      <selection pane="bottomLeft" activeCell="G19" sqref="G19"/>
    </sheetView>
  </sheetViews>
  <sheetFormatPr defaultRowHeight="14.4" x14ac:dyDescent="0.3"/>
  <cols>
    <col min="4" max="4" width="12.44140625" bestFit="1" customWidth="1"/>
    <col min="5" max="5" width="10" bestFit="1" customWidth="1"/>
    <col min="6" max="6" width="12.33203125" style="7" bestFit="1" customWidth="1"/>
    <col min="7" max="7" width="10.5546875" bestFit="1" customWidth="1"/>
    <col min="10" max="10" width="12.33203125" bestFit="1" customWidth="1"/>
    <col min="11" max="11" width="10.5546875" bestFit="1" customWidth="1"/>
    <col min="12" max="12" width="13.109375" bestFit="1" customWidth="1"/>
    <col min="15" max="15" width="10.5546875" bestFit="1" customWidth="1"/>
  </cols>
  <sheetData>
    <row r="1" spans="1:18" x14ac:dyDescent="0.3">
      <c r="A1" s="1" t="s">
        <v>1</v>
      </c>
      <c r="B1" s="1" t="s">
        <v>0</v>
      </c>
      <c r="C1" s="1" t="s">
        <v>8</v>
      </c>
      <c r="D1" s="1" t="s">
        <v>153</v>
      </c>
      <c r="E1" s="1" t="s">
        <v>305</v>
      </c>
      <c r="F1" s="11" t="s">
        <v>307</v>
      </c>
      <c r="G1" s="1" t="s">
        <v>306</v>
      </c>
      <c r="H1" s="1" t="s">
        <v>304</v>
      </c>
      <c r="I1" s="1" t="s">
        <v>308</v>
      </c>
      <c r="J1" s="1" t="s">
        <v>317</v>
      </c>
      <c r="K1" s="1" t="s">
        <v>309</v>
      </c>
      <c r="L1" s="1" t="s">
        <v>310</v>
      </c>
      <c r="M1" s="1" t="s">
        <v>311</v>
      </c>
    </row>
    <row r="2" spans="1:18" x14ac:dyDescent="0.3">
      <c r="A2">
        <v>2014</v>
      </c>
      <c r="D2" t="s">
        <v>154</v>
      </c>
      <c r="E2">
        <v>10</v>
      </c>
      <c r="F2" s="7">
        <f>7.339+0.848*LOG10(E2) + 2.844 *LOG10(E2)^2</f>
        <v>11.031000000000001</v>
      </c>
      <c r="G2">
        <f>IF(E2&lt;=104,F2*(0.04704+0.1978*LOG10(E2)-0.05729*LOG10(E2)^2),F2*(0.2801-0.0333*LOG10(E2)))</f>
        <v>2.0688640500000002</v>
      </c>
      <c r="H2">
        <f>-0.0336 -0.264 *LOG10(E2) + 0.0636 *LOG10(E2)^2</f>
        <v>-0.23400000000000004</v>
      </c>
      <c r="I2">
        <v>8.1</v>
      </c>
      <c r="J2">
        <f>I2/1.02</f>
        <v>7.9411764705882346</v>
      </c>
      <c r="K2">
        <f>GLOCDF(F2,G2,H2,J2)</f>
        <v>0.13734603442311932</v>
      </c>
      <c r="L2" s="8">
        <f>-1/LN(K2)</f>
        <v>0.5037144561561977</v>
      </c>
      <c r="M2">
        <v>0.5</v>
      </c>
      <c r="O2" t="s">
        <v>314</v>
      </c>
      <c r="Q2">
        <v>1</v>
      </c>
    </row>
    <row r="3" spans="1:18" x14ac:dyDescent="0.3">
      <c r="A3">
        <v>2014</v>
      </c>
      <c r="D3" t="s">
        <v>154</v>
      </c>
      <c r="E3">
        <v>10</v>
      </c>
      <c r="F3" s="7">
        <f>7.339+0.848*LOG(E3) + 2.844 *LOG(E3)^2</f>
        <v>11.031000000000001</v>
      </c>
      <c r="G3">
        <f>IF(E3&lt;=104,F3*(0.04704+0.1978*LOG(E3)-0.05729*LOG(E3)^2),F3*(0.2801-0.0333*LOG(E3)))</f>
        <v>2.0688640500000002</v>
      </c>
      <c r="H3">
        <f>-0.0336 -0.264 *LOG(E3) + 0.0636 *LOG(E3)^2</f>
        <v>-0.23400000000000004</v>
      </c>
      <c r="I3">
        <v>10.199999999999999</v>
      </c>
      <c r="J3">
        <f t="shared" ref="J3:J66" si="0">I3/1.02</f>
        <v>10</v>
      </c>
      <c r="K3">
        <f>GLOCDF(F3,G3,H3,J3)</f>
        <v>0.3705462333243501</v>
      </c>
      <c r="L3" s="4">
        <f>-1/LN(K3)</f>
        <v>1.0072754947625842</v>
      </c>
      <c r="M3">
        <v>1</v>
      </c>
      <c r="O3" t="s">
        <v>315</v>
      </c>
      <c r="Q3" s="2">
        <f>F2+(G2/H2)*(1-((1-EXP(-1/Q2))/EXP(-1/Q2))^H2)</f>
        <v>9.9791006494735761</v>
      </c>
      <c r="R3" t="s">
        <v>312</v>
      </c>
    </row>
    <row r="4" spans="1:18" x14ac:dyDescent="0.3">
      <c r="A4">
        <v>2014</v>
      </c>
      <c r="D4" t="s">
        <v>154</v>
      </c>
      <c r="E4">
        <v>10</v>
      </c>
      <c r="F4" s="7">
        <f>7.339+0.848*LOG(E4) + 2.844 *LOG(E4)^2</f>
        <v>11.031000000000001</v>
      </c>
      <c r="G4">
        <f>IF(E4&lt;=104,F4*(0.04704+0.1978*LOG(E4)-0.05729*LOG(E4)^2),F4*(0.2801-0.0333*LOG(E4)))</f>
        <v>2.0688640500000002</v>
      </c>
      <c r="H4">
        <f>-0.0336 -0.264 *LOG(E4) + 0.0636 *LOG(E4)^2</f>
        <v>-0.23400000000000004</v>
      </c>
      <c r="I4">
        <v>12.2</v>
      </c>
      <c r="J4">
        <f t="shared" si="0"/>
        <v>11.960784313725489</v>
      </c>
      <c r="K4">
        <f>GLOCDF(F4,G4,H4,J4)</f>
        <v>0.60523418766764203</v>
      </c>
      <c r="L4" s="4">
        <f>-1/LN(K4)</f>
        <v>1.9914772389731947</v>
      </c>
      <c r="M4">
        <v>2</v>
      </c>
      <c r="O4" t="s">
        <v>316</v>
      </c>
      <c r="Q4" s="6">
        <f>Q3*1.02</f>
        <v>10.178682662463048</v>
      </c>
      <c r="R4" t="s">
        <v>313</v>
      </c>
    </row>
    <row r="5" spans="1:18" x14ac:dyDescent="0.3">
      <c r="A5">
        <v>2014</v>
      </c>
      <c r="D5" t="s">
        <v>154</v>
      </c>
      <c r="E5">
        <v>10</v>
      </c>
      <c r="F5" s="7">
        <f>7.339+0.848*LOG(E5) + 2.844 *LOG(E5)^2</f>
        <v>11.031000000000001</v>
      </c>
      <c r="G5">
        <f>IF(E5&lt;=104,F5*(0.04704+0.1978*LOG(E5)-0.05729*LOG(E5)^2),F5*(0.2801-0.0333*LOG(E5)))</f>
        <v>2.0688640500000002</v>
      </c>
      <c r="H5">
        <f>-0.0336 -0.264 *LOG(E5) + 0.0636 *LOG(E5)^2</f>
        <v>-0.23400000000000004</v>
      </c>
      <c r="I5">
        <v>15.1</v>
      </c>
      <c r="J5">
        <f t="shared" si="0"/>
        <v>14.80392156862745</v>
      </c>
      <c r="K5">
        <f>GLOCDF(F5,G5,H5,J5)</f>
        <v>0.82035652363287126</v>
      </c>
      <c r="L5" s="4">
        <f>-1/LN(K5)</f>
        <v>5.050090629425136</v>
      </c>
      <c r="M5">
        <v>5</v>
      </c>
    </row>
    <row r="6" spans="1:18" x14ac:dyDescent="0.3">
      <c r="A6">
        <v>2014</v>
      </c>
      <c r="D6" t="s">
        <v>154</v>
      </c>
      <c r="E6">
        <v>10</v>
      </c>
      <c r="F6" s="7">
        <f t="shared" ref="F6:F69" si="1">7.339+0.848*LOG(E6) + 2.844 *LOG(E6)^2</f>
        <v>11.031000000000001</v>
      </c>
      <c r="G6">
        <f t="shared" ref="G6:G14" si="2">IF(E6&lt;=104,F6*(0.04704+0.1978*LOG(E6)-0.05729*LOG(E6)^2),F6*(0.2801-0.0333*LOG(E6)))</f>
        <v>2.0688640500000002</v>
      </c>
      <c r="H6">
        <f t="shared" ref="H6:H15" si="3">-0.0336 -0.264 *LOG(E6) + 0.0636 *LOG(E6)^2</f>
        <v>-0.23400000000000004</v>
      </c>
      <c r="I6">
        <v>17.5</v>
      </c>
      <c r="J6">
        <f t="shared" si="0"/>
        <v>17.156862745098039</v>
      </c>
      <c r="K6">
        <f t="shared" ref="K6:K15" si="4">GLOCDF(F6,G6,H6,J6)</f>
        <v>0.90462279480605556</v>
      </c>
      <c r="L6" s="4">
        <f t="shared" ref="L6:L69" si="5">-1/LN(K6)</f>
        <v>9.9763337930713867</v>
      </c>
      <c r="M6">
        <v>10</v>
      </c>
      <c r="O6">
        <f>F2</f>
        <v>11.031000000000001</v>
      </c>
      <c r="P6">
        <f>G2</f>
        <v>2.0688640500000002</v>
      </c>
      <c r="Q6">
        <f>H2</f>
        <v>-0.23400000000000004</v>
      </c>
      <c r="R6">
        <f>J2</f>
        <v>7.9411764705882346</v>
      </c>
    </row>
    <row r="7" spans="1:18" x14ac:dyDescent="0.3">
      <c r="A7">
        <v>2014</v>
      </c>
      <c r="D7" t="s">
        <v>154</v>
      </c>
      <c r="E7">
        <v>10</v>
      </c>
      <c r="F7" s="7">
        <f t="shared" si="1"/>
        <v>11.031000000000001</v>
      </c>
      <c r="G7">
        <f t="shared" si="2"/>
        <v>2.0688640500000002</v>
      </c>
      <c r="H7">
        <f t="shared" si="3"/>
        <v>-0.23400000000000004</v>
      </c>
      <c r="I7">
        <v>20.3</v>
      </c>
      <c r="J7">
        <f t="shared" si="0"/>
        <v>19.901960784313726</v>
      </c>
      <c r="K7">
        <f t="shared" si="4"/>
        <v>0.95116916556436604</v>
      </c>
      <c r="L7" s="4">
        <f t="shared" si="5"/>
        <v>19.974691871771565</v>
      </c>
      <c r="M7">
        <v>20</v>
      </c>
    </row>
    <row r="8" spans="1:18" x14ac:dyDescent="0.3">
      <c r="A8">
        <v>2014</v>
      </c>
      <c r="D8" t="s">
        <v>154</v>
      </c>
      <c r="E8">
        <v>10</v>
      </c>
      <c r="F8" s="7">
        <f t="shared" si="1"/>
        <v>11.031000000000001</v>
      </c>
      <c r="G8">
        <f t="shared" si="2"/>
        <v>2.0688640500000002</v>
      </c>
      <c r="H8">
        <f t="shared" si="3"/>
        <v>-0.23400000000000004</v>
      </c>
      <c r="I8">
        <v>21.3</v>
      </c>
      <c r="J8">
        <f t="shared" si="0"/>
        <v>20.882352941176471</v>
      </c>
      <c r="K8">
        <f t="shared" si="4"/>
        <v>0.96081765623704929</v>
      </c>
      <c r="L8" s="4">
        <f t="shared" si="5"/>
        <v>25.018368620432753</v>
      </c>
      <c r="M8">
        <v>25</v>
      </c>
    </row>
    <row r="9" spans="1:18" x14ac:dyDescent="0.3">
      <c r="A9">
        <v>2014</v>
      </c>
      <c r="D9" t="s">
        <v>154</v>
      </c>
      <c r="E9">
        <v>10</v>
      </c>
      <c r="F9" s="7">
        <f t="shared" si="1"/>
        <v>11.031000000000001</v>
      </c>
      <c r="G9">
        <f t="shared" si="2"/>
        <v>2.0688640500000002</v>
      </c>
      <c r="H9">
        <f t="shared" si="3"/>
        <v>-0.23400000000000004</v>
      </c>
      <c r="I9">
        <v>24.7</v>
      </c>
      <c r="J9">
        <f t="shared" si="0"/>
        <v>24.215686274509803</v>
      </c>
      <c r="K9">
        <f t="shared" si="4"/>
        <v>0.98017540085754473</v>
      </c>
      <c r="L9" s="4">
        <f t="shared" si="5"/>
        <v>49.940713217580893</v>
      </c>
      <c r="M9">
        <v>50</v>
      </c>
    </row>
    <row r="10" spans="1:18" x14ac:dyDescent="0.3">
      <c r="A10">
        <v>2014</v>
      </c>
      <c r="D10" t="s">
        <v>154</v>
      </c>
      <c r="E10">
        <v>10</v>
      </c>
      <c r="F10" s="7">
        <f t="shared" si="1"/>
        <v>11.031000000000001</v>
      </c>
      <c r="G10">
        <f t="shared" si="2"/>
        <v>2.0688640500000002</v>
      </c>
      <c r="H10">
        <f t="shared" si="3"/>
        <v>-0.23400000000000004</v>
      </c>
      <c r="I10">
        <v>28.7</v>
      </c>
      <c r="J10">
        <f t="shared" si="0"/>
        <v>28.137254901960784</v>
      </c>
      <c r="K10">
        <f t="shared" si="4"/>
        <v>0.99005844588060532</v>
      </c>
      <c r="L10" s="4">
        <f t="shared" si="5"/>
        <v>100.08706220197411</v>
      </c>
      <c r="M10">
        <v>100</v>
      </c>
    </row>
    <row r="11" spans="1:18" x14ac:dyDescent="0.3">
      <c r="A11">
        <v>2014</v>
      </c>
      <c r="D11" t="s">
        <v>154</v>
      </c>
      <c r="E11">
        <v>10</v>
      </c>
      <c r="F11" s="7">
        <f t="shared" si="1"/>
        <v>11.031000000000001</v>
      </c>
      <c r="G11">
        <f t="shared" si="2"/>
        <v>2.0688640500000002</v>
      </c>
      <c r="H11">
        <f t="shared" si="3"/>
        <v>-0.23400000000000004</v>
      </c>
      <c r="I11">
        <v>33.4</v>
      </c>
      <c r="J11">
        <f t="shared" si="0"/>
        <v>32.745098039215684</v>
      </c>
      <c r="K11">
        <f t="shared" si="4"/>
        <v>0.99503124417992228</v>
      </c>
      <c r="L11" s="4">
        <f t="shared" si="5"/>
        <v>200.75721079991533</v>
      </c>
      <c r="M11">
        <v>200</v>
      </c>
    </row>
    <row r="12" spans="1:18" x14ac:dyDescent="0.3">
      <c r="A12">
        <v>2014</v>
      </c>
      <c r="D12" t="s">
        <v>154</v>
      </c>
      <c r="E12">
        <v>10</v>
      </c>
      <c r="F12" s="7">
        <f t="shared" si="1"/>
        <v>11.031000000000001</v>
      </c>
      <c r="G12">
        <f t="shared" si="2"/>
        <v>2.0688640500000002</v>
      </c>
      <c r="H12">
        <f t="shared" si="3"/>
        <v>-0.23400000000000004</v>
      </c>
      <c r="I12">
        <v>35</v>
      </c>
      <c r="J12">
        <f t="shared" si="0"/>
        <v>34.313725490196077</v>
      </c>
      <c r="K12">
        <f t="shared" si="4"/>
        <v>0.99598441449494612</v>
      </c>
      <c r="L12" s="4">
        <f t="shared" si="5"/>
        <v>248.52935133436551</v>
      </c>
      <c r="M12">
        <v>250</v>
      </c>
    </row>
    <row r="13" spans="1:18" x14ac:dyDescent="0.3">
      <c r="A13">
        <v>2014</v>
      </c>
      <c r="D13" t="s">
        <v>154</v>
      </c>
      <c r="E13">
        <v>10</v>
      </c>
      <c r="F13" s="7">
        <f>7.339+0.848*LOG(E13) + 2.844 *LOG(E13)^2</f>
        <v>11.031000000000001</v>
      </c>
      <c r="G13">
        <f>IF(E13&lt;=104,F13*(0.04704+0.1978*LOG(E13)-0.05729*LOG(E13)^2),F13*(0.2801-0.0333*LOG(E13)))</f>
        <v>2.0688640500000002</v>
      </c>
      <c r="H13">
        <f>-0.0336 -0.264 *LOG(E13) + 0.0636 *LOG(E13)^2</f>
        <v>-0.23400000000000004</v>
      </c>
      <c r="I13">
        <v>40.799999999999997</v>
      </c>
      <c r="J13">
        <f t="shared" si="0"/>
        <v>40</v>
      </c>
      <c r="K13">
        <f t="shared" si="4"/>
        <v>0.99799485718205294</v>
      </c>
      <c r="L13" s="4">
        <f t="shared" si="5"/>
        <v>498.21742584285795</v>
      </c>
      <c r="M13">
        <v>500</v>
      </c>
    </row>
    <row r="14" spans="1:18" x14ac:dyDescent="0.3">
      <c r="A14">
        <v>2014</v>
      </c>
      <c r="D14" t="s">
        <v>154</v>
      </c>
      <c r="E14">
        <v>10</v>
      </c>
      <c r="F14" s="7">
        <f t="shared" si="1"/>
        <v>11.031000000000001</v>
      </c>
      <c r="G14">
        <f t="shared" si="2"/>
        <v>2.0688640500000002</v>
      </c>
      <c r="H14">
        <f>-0.0336 -0.264 *LOG(E14) + 0.0636 *LOG(E14)^2</f>
        <v>-0.23400000000000004</v>
      </c>
      <c r="I14">
        <v>47.6</v>
      </c>
      <c r="J14">
        <f t="shared" si="0"/>
        <v>46.666666666666664</v>
      </c>
      <c r="K14">
        <f t="shared" si="4"/>
        <v>0.99899725097756031</v>
      </c>
      <c r="L14" s="4">
        <f t="shared" si="5"/>
        <v>996.7584303625955</v>
      </c>
      <c r="M14">
        <v>1000</v>
      </c>
    </row>
    <row r="15" spans="1:18" x14ac:dyDescent="0.3">
      <c r="A15">
        <v>2014</v>
      </c>
      <c r="D15" t="s">
        <v>154</v>
      </c>
      <c r="E15">
        <v>10</v>
      </c>
      <c r="F15" s="7">
        <f t="shared" si="1"/>
        <v>11.031000000000001</v>
      </c>
      <c r="G15">
        <f>IF(E15&lt;=104,F15*(0.04704+0.1978*LOG(E15)-0.05729*LOG(E15)^2),F15*(0.2801-0.0333*LOG(E15)))</f>
        <v>2.0688640500000002</v>
      </c>
      <c r="H15">
        <f t="shared" si="3"/>
        <v>-0.23400000000000004</v>
      </c>
      <c r="I15">
        <v>80</v>
      </c>
      <c r="J15">
        <f t="shared" si="0"/>
        <v>78.431372549019613</v>
      </c>
      <c r="K15">
        <f t="shared" si="4"/>
        <v>0.99989969104633269</v>
      </c>
      <c r="L15" s="4">
        <f t="shared" si="5"/>
        <v>9968.6997832832385</v>
      </c>
      <c r="M15">
        <v>10000</v>
      </c>
    </row>
    <row r="16" spans="1:18" x14ac:dyDescent="0.3">
      <c r="A16">
        <v>2014</v>
      </c>
      <c r="D16" t="s">
        <v>154</v>
      </c>
      <c r="E16">
        <v>15</v>
      </c>
      <c r="F16" s="7">
        <f>7.339+0.848*LOG(E16) + 2.844 *LOG(E16)^2</f>
        <v>12.270119595218912</v>
      </c>
      <c r="G16">
        <f>IF(E16&lt;=104,F16*(0.04704+0.1978*LOG(E16)-0.05729*LOG(E16)^2),F16*(0.2801-0.0333*LOG(E16)))</f>
        <v>2.4592737967580134</v>
      </c>
      <c r="H16">
        <f>-0.0336 -0.264 *LOG(E16) + 0.0636 *LOG(E16)^2</f>
        <v>-0.2561171670744114</v>
      </c>
      <c r="I16">
        <v>8.8000000000000007</v>
      </c>
      <c r="J16">
        <f t="shared" si="0"/>
        <v>8.6274509803921582</v>
      </c>
      <c r="K16">
        <f>GLOCDF(F16,G16,H16,J16)</f>
        <v>0.13441839194916058</v>
      </c>
      <c r="L16" s="8">
        <f t="shared" si="5"/>
        <v>0.49830625320946276</v>
      </c>
      <c r="M16">
        <v>0.5</v>
      </c>
    </row>
    <row r="17" spans="1:13" x14ac:dyDescent="0.3">
      <c r="A17">
        <v>2014</v>
      </c>
      <c r="D17" t="s">
        <v>154</v>
      </c>
      <c r="E17">
        <v>15</v>
      </c>
      <c r="F17" s="7">
        <f t="shared" si="1"/>
        <v>12.270119595218912</v>
      </c>
      <c r="G17">
        <f>IF(E17&lt;=104,F17*(0.04704+0.1978*LOG(E17)-0.05729*LOG(E17)^2),F17*(0.2801-0.0333*LOG(E17)))</f>
        <v>2.4592737967580134</v>
      </c>
      <c r="H17">
        <f>-0.0336 -0.264 *LOG(E17) + 0.0636 *LOG(E17)^2</f>
        <v>-0.2561171670744114</v>
      </c>
      <c r="I17">
        <v>11.2</v>
      </c>
      <c r="J17">
        <f t="shared" si="0"/>
        <v>10.980392156862743</v>
      </c>
      <c r="K17">
        <f>GLOCDF(F17,G17,H17,J17)</f>
        <v>0.36281561723602207</v>
      </c>
      <c r="L17" s="4">
        <f t="shared" si="5"/>
        <v>0.98632897222725757</v>
      </c>
      <c r="M17">
        <v>1</v>
      </c>
    </row>
    <row r="18" spans="1:13" x14ac:dyDescent="0.3">
      <c r="A18">
        <v>2014</v>
      </c>
      <c r="D18" t="s">
        <v>154</v>
      </c>
      <c r="E18">
        <v>15</v>
      </c>
      <c r="F18" s="7">
        <f t="shared" si="1"/>
        <v>12.270119595218912</v>
      </c>
      <c r="G18">
        <f t="shared" ref="G18:G81" si="6">IF(E18&lt;=104,F18*(0.04704+0.1978*LOG(E18)-0.05729*LOG(E18)^2),F18*(0.2801-0.0333*LOG(E18)))</f>
        <v>2.4592737967580134</v>
      </c>
      <c r="H18">
        <f t="shared" ref="H18:H81" si="7">-0.0336 -0.264 *LOG(E18) + 0.0636 *LOG(E18)^2</f>
        <v>-0.2561171670744114</v>
      </c>
      <c r="I18">
        <v>13.7</v>
      </c>
      <c r="J18">
        <f t="shared" si="0"/>
        <v>13.431372549019606</v>
      </c>
      <c r="K18">
        <f t="shared" ref="K18:K81" si="8">GLOCDF(F18,G18,H18,J18)</f>
        <v>0.60962882179215927</v>
      </c>
      <c r="L18" s="4">
        <f t="shared" si="5"/>
        <v>2.0205898269679712</v>
      </c>
      <c r="M18">
        <v>2</v>
      </c>
    </row>
    <row r="19" spans="1:13" x14ac:dyDescent="0.3">
      <c r="A19">
        <v>2014</v>
      </c>
      <c r="D19" t="s">
        <v>154</v>
      </c>
      <c r="E19">
        <v>15</v>
      </c>
      <c r="F19" s="7">
        <f t="shared" si="1"/>
        <v>12.270119595218912</v>
      </c>
      <c r="G19">
        <f t="shared" si="6"/>
        <v>2.4592737967580134</v>
      </c>
      <c r="H19">
        <f t="shared" si="7"/>
        <v>-0.2561171670744114</v>
      </c>
      <c r="I19">
        <v>17.100000000000001</v>
      </c>
      <c r="J19">
        <f t="shared" si="0"/>
        <v>16.764705882352942</v>
      </c>
      <c r="K19">
        <f t="shared" si="8"/>
        <v>0.81744675501527042</v>
      </c>
      <c r="L19" s="4">
        <f t="shared" si="5"/>
        <v>4.9610677772364102</v>
      </c>
      <c r="M19">
        <v>5</v>
      </c>
    </row>
    <row r="20" spans="1:13" x14ac:dyDescent="0.3">
      <c r="A20">
        <v>2014</v>
      </c>
      <c r="D20" t="s">
        <v>154</v>
      </c>
      <c r="E20">
        <v>15</v>
      </c>
      <c r="F20" s="7">
        <f t="shared" si="1"/>
        <v>12.270119595218912</v>
      </c>
      <c r="G20">
        <f t="shared" si="6"/>
        <v>2.4592737967580134</v>
      </c>
      <c r="H20">
        <f t="shared" si="7"/>
        <v>-0.2561171670744114</v>
      </c>
      <c r="I20">
        <v>20.2</v>
      </c>
      <c r="J20">
        <f t="shared" si="0"/>
        <v>19.803921568627452</v>
      </c>
      <c r="K20">
        <f t="shared" si="8"/>
        <v>0.90563222427212797</v>
      </c>
      <c r="L20" s="4">
        <f t="shared" si="5"/>
        <v>10.088578849502953</v>
      </c>
      <c r="M20">
        <v>10</v>
      </c>
    </row>
    <row r="21" spans="1:13" x14ac:dyDescent="0.3">
      <c r="A21">
        <v>2014</v>
      </c>
      <c r="D21" t="s">
        <v>154</v>
      </c>
      <c r="E21">
        <v>15</v>
      </c>
      <c r="F21" s="7">
        <f t="shared" si="1"/>
        <v>12.270119595218912</v>
      </c>
      <c r="G21">
        <f t="shared" si="6"/>
        <v>2.4592737967580134</v>
      </c>
      <c r="H21">
        <f t="shared" si="7"/>
        <v>-0.2561171670744114</v>
      </c>
      <c r="I21">
        <v>23.7</v>
      </c>
      <c r="J21">
        <f t="shared" si="0"/>
        <v>23.235294117647058</v>
      </c>
      <c r="K21">
        <f t="shared" si="8"/>
        <v>0.95139003987902315</v>
      </c>
      <c r="L21" s="4">
        <f t="shared" si="5"/>
        <v>20.067763238047281</v>
      </c>
      <c r="M21">
        <v>20</v>
      </c>
    </row>
    <row r="22" spans="1:13" x14ac:dyDescent="0.3">
      <c r="A22">
        <v>2014</v>
      </c>
      <c r="D22" t="s">
        <v>154</v>
      </c>
      <c r="E22">
        <v>15</v>
      </c>
      <c r="F22" s="7">
        <f t="shared" si="1"/>
        <v>12.270119595218912</v>
      </c>
      <c r="G22">
        <f t="shared" si="6"/>
        <v>2.4592737967580134</v>
      </c>
      <c r="H22">
        <f t="shared" si="7"/>
        <v>-0.2561171670744114</v>
      </c>
      <c r="I22">
        <v>24.9</v>
      </c>
      <c r="J22">
        <f t="shared" si="0"/>
        <v>24.411764705882351</v>
      </c>
      <c r="K22">
        <f t="shared" si="8"/>
        <v>0.96050483393296171</v>
      </c>
      <c r="L22" s="4">
        <f t="shared" si="5"/>
        <v>24.816196322740559</v>
      </c>
      <c r="M22">
        <v>25</v>
      </c>
    </row>
    <row r="23" spans="1:13" x14ac:dyDescent="0.3">
      <c r="A23">
        <v>2014</v>
      </c>
      <c r="D23" t="s">
        <v>154</v>
      </c>
      <c r="E23">
        <v>15</v>
      </c>
      <c r="F23" s="7">
        <f t="shared" si="1"/>
        <v>12.270119595218912</v>
      </c>
      <c r="G23">
        <f t="shared" si="6"/>
        <v>2.4592737967580134</v>
      </c>
      <c r="H23">
        <f t="shared" si="7"/>
        <v>-0.2561171670744114</v>
      </c>
      <c r="I23">
        <v>29.3</v>
      </c>
      <c r="J23">
        <f t="shared" si="0"/>
        <v>28.725490196078432</v>
      </c>
      <c r="K23">
        <f t="shared" si="8"/>
        <v>0.98011886937865422</v>
      </c>
      <c r="L23" s="4">
        <f t="shared" si="5"/>
        <v>49.797276807779369</v>
      </c>
      <c r="M23">
        <v>50</v>
      </c>
    </row>
    <row r="24" spans="1:13" x14ac:dyDescent="0.3">
      <c r="A24">
        <v>2014</v>
      </c>
      <c r="D24" t="s">
        <v>154</v>
      </c>
      <c r="E24">
        <v>15</v>
      </c>
      <c r="F24" s="7">
        <f t="shared" si="1"/>
        <v>12.270119595218912</v>
      </c>
      <c r="G24">
        <f t="shared" si="6"/>
        <v>2.4592737967580134</v>
      </c>
      <c r="H24">
        <f t="shared" si="7"/>
        <v>-0.2561171670744114</v>
      </c>
      <c r="I24">
        <v>34.5</v>
      </c>
      <c r="J24">
        <f t="shared" si="0"/>
        <v>33.823529411764703</v>
      </c>
      <c r="K24">
        <f t="shared" si="8"/>
        <v>0.99000452427716634</v>
      </c>
      <c r="L24" s="4">
        <f t="shared" si="5"/>
        <v>99.544426104263053</v>
      </c>
      <c r="M24">
        <v>100</v>
      </c>
    </row>
    <row r="25" spans="1:13" x14ac:dyDescent="0.3">
      <c r="A25">
        <v>2014</v>
      </c>
      <c r="D25" t="s">
        <v>154</v>
      </c>
      <c r="E25">
        <v>15</v>
      </c>
      <c r="F25" s="7">
        <f t="shared" si="1"/>
        <v>12.270119595218912</v>
      </c>
      <c r="G25">
        <f t="shared" si="6"/>
        <v>2.4592737967580134</v>
      </c>
      <c r="H25">
        <f t="shared" si="7"/>
        <v>-0.2561171670744114</v>
      </c>
      <c r="I25">
        <v>40.700000000000003</v>
      </c>
      <c r="J25">
        <f t="shared" si="0"/>
        <v>39.901960784313729</v>
      </c>
      <c r="K25">
        <f t="shared" si="8"/>
        <v>0.99499084882840882</v>
      </c>
      <c r="L25" s="4">
        <f t="shared" si="5"/>
        <v>199.13420338588065</v>
      </c>
      <c r="M25">
        <v>200</v>
      </c>
    </row>
    <row r="26" spans="1:13" x14ac:dyDescent="0.3">
      <c r="A26">
        <v>2014</v>
      </c>
      <c r="D26" t="s">
        <v>154</v>
      </c>
      <c r="E26">
        <v>15</v>
      </c>
      <c r="F26" s="7">
        <f t="shared" si="1"/>
        <v>12.270119595218912</v>
      </c>
      <c r="G26">
        <f t="shared" si="6"/>
        <v>2.4592737967580134</v>
      </c>
      <c r="H26">
        <f t="shared" si="7"/>
        <v>-0.2561171670744114</v>
      </c>
      <c r="I26">
        <v>43</v>
      </c>
      <c r="J26">
        <f t="shared" si="0"/>
        <v>42.156862745098039</v>
      </c>
      <c r="K26">
        <f t="shared" si="8"/>
        <v>0.99601426253963299</v>
      </c>
      <c r="L26" s="4">
        <f t="shared" si="5"/>
        <v>250.39426573045577</v>
      </c>
      <c r="M26">
        <v>250</v>
      </c>
    </row>
    <row r="27" spans="1:13" x14ac:dyDescent="0.3">
      <c r="A27">
        <v>2014</v>
      </c>
      <c r="D27" t="s">
        <v>154</v>
      </c>
      <c r="E27">
        <v>15</v>
      </c>
      <c r="F27" s="7">
        <f t="shared" si="1"/>
        <v>12.270119595218912</v>
      </c>
      <c r="G27">
        <f t="shared" si="6"/>
        <v>2.4592737967580134</v>
      </c>
      <c r="H27">
        <f t="shared" si="7"/>
        <v>-0.2561171670744114</v>
      </c>
      <c r="I27">
        <v>50.8</v>
      </c>
      <c r="J27">
        <f t="shared" si="0"/>
        <v>49.803921568627445</v>
      </c>
      <c r="K27">
        <f t="shared" si="8"/>
        <v>0.99799917727437193</v>
      </c>
      <c r="L27" s="4">
        <f t="shared" si="5"/>
        <v>499.29423626563113</v>
      </c>
      <c r="M27">
        <v>500</v>
      </c>
    </row>
    <row r="28" spans="1:13" x14ac:dyDescent="0.3">
      <c r="A28">
        <v>2014</v>
      </c>
      <c r="D28" t="s">
        <v>154</v>
      </c>
      <c r="E28">
        <v>15</v>
      </c>
      <c r="F28" s="7">
        <f t="shared" si="1"/>
        <v>12.270119595218912</v>
      </c>
      <c r="G28">
        <f t="shared" si="6"/>
        <v>2.4592737967580134</v>
      </c>
      <c r="H28">
        <f t="shared" si="7"/>
        <v>-0.2561171670744114</v>
      </c>
      <c r="I28">
        <v>60.2</v>
      </c>
      <c r="J28">
        <f t="shared" si="0"/>
        <v>59.019607843137258</v>
      </c>
      <c r="K28">
        <f t="shared" si="8"/>
        <v>0.99900267366153961</v>
      </c>
      <c r="L28" s="4">
        <f t="shared" si="5"/>
        <v>1002.1807460174546</v>
      </c>
      <c r="M28">
        <v>1000</v>
      </c>
    </row>
    <row r="29" spans="1:13" x14ac:dyDescent="0.3">
      <c r="A29">
        <v>2014</v>
      </c>
      <c r="D29" t="s">
        <v>154</v>
      </c>
      <c r="E29">
        <v>15</v>
      </c>
      <c r="F29" s="7">
        <f t="shared" si="1"/>
        <v>12.270119595218912</v>
      </c>
      <c r="G29">
        <f t="shared" si="6"/>
        <v>2.4592737967580134</v>
      </c>
      <c r="H29">
        <f t="shared" si="7"/>
        <v>-0.2561171670744114</v>
      </c>
      <c r="I29">
        <v>110</v>
      </c>
      <c r="J29">
        <f t="shared" si="0"/>
        <v>107.84313725490196</v>
      </c>
      <c r="K29">
        <f t="shared" si="8"/>
        <v>0.9999126833380636</v>
      </c>
      <c r="L29" s="4">
        <f t="shared" si="5"/>
        <v>11452.067896984225</v>
      </c>
      <c r="M29">
        <v>10000</v>
      </c>
    </row>
    <row r="30" spans="1:13" x14ac:dyDescent="0.3">
      <c r="A30">
        <v>2014</v>
      </c>
      <c r="D30" t="s">
        <v>154</v>
      </c>
      <c r="E30">
        <v>30</v>
      </c>
      <c r="F30" s="7">
        <f t="shared" si="1"/>
        <v>14.796886024057486</v>
      </c>
      <c r="G30">
        <f t="shared" si="6"/>
        <v>3.1697040850914338</v>
      </c>
      <c r="H30">
        <f t="shared" si="7"/>
        <v>-0.28479198525319499</v>
      </c>
      <c r="I30">
        <v>10.4</v>
      </c>
      <c r="J30">
        <f t="shared" si="0"/>
        <v>10.196078431372548</v>
      </c>
      <c r="K30">
        <f t="shared" si="8"/>
        <v>0.13321430032537943</v>
      </c>
      <c r="L30" s="8">
        <f t="shared" si="5"/>
        <v>0.49608190374150563</v>
      </c>
      <c r="M30">
        <v>0.5</v>
      </c>
    </row>
    <row r="31" spans="1:13" x14ac:dyDescent="0.3">
      <c r="A31">
        <v>2014</v>
      </c>
      <c r="D31" t="s">
        <v>154</v>
      </c>
      <c r="E31">
        <v>30</v>
      </c>
      <c r="F31" s="7">
        <f t="shared" si="1"/>
        <v>14.796886024057486</v>
      </c>
      <c r="G31">
        <f t="shared" si="6"/>
        <v>3.1697040850914338</v>
      </c>
      <c r="H31">
        <f t="shared" si="7"/>
        <v>-0.28479198525319499</v>
      </c>
      <c r="I31">
        <v>13.5</v>
      </c>
      <c r="J31">
        <f t="shared" si="0"/>
        <v>13.235294117647058</v>
      </c>
      <c r="K31">
        <f t="shared" si="8"/>
        <v>0.37032105748226118</v>
      </c>
      <c r="L31" s="4">
        <f t="shared" si="5"/>
        <v>1.0066591239202944</v>
      </c>
      <c r="M31">
        <v>1</v>
      </c>
    </row>
    <row r="32" spans="1:13" x14ac:dyDescent="0.3">
      <c r="A32">
        <v>2014</v>
      </c>
      <c r="D32" t="s">
        <v>154</v>
      </c>
      <c r="E32">
        <v>30</v>
      </c>
      <c r="F32" s="7">
        <f t="shared" si="1"/>
        <v>14.796886024057486</v>
      </c>
      <c r="G32">
        <f t="shared" si="6"/>
        <v>3.1697040850914338</v>
      </c>
      <c r="H32">
        <f t="shared" si="7"/>
        <v>-0.28479198525319499</v>
      </c>
      <c r="I32">
        <v>16.600000000000001</v>
      </c>
      <c r="J32">
        <f t="shared" si="0"/>
        <v>16.274509803921571</v>
      </c>
      <c r="K32">
        <f t="shared" si="8"/>
        <v>0.60771521278847007</v>
      </c>
      <c r="L32" s="4">
        <f t="shared" si="5"/>
        <v>2.0078349463476157</v>
      </c>
      <c r="M32">
        <v>2</v>
      </c>
    </row>
    <row r="33" spans="1:13" x14ac:dyDescent="0.3">
      <c r="A33">
        <v>2014</v>
      </c>
      <c r="D33" t="s">
        <v>154</v>
      </c>
      <c r="E33">
        <v>30</v>
      </c>
      <c r="F33" s="7">
        <f t="shared" si="1"/>
        <v>14.796886024057486</v>
      </c>
      <c r="G33">
        <f t="shared" si="6"/>
        <v>3.1697040850914338</v>
      </c>
      <c r="H33">
        <f t="shared" si="7"/>
        <v>-0.28479198525319499</v>
      </c>
      <c r="I33">
        <v>21.2</v>
      </c>
      <c r="J33">
        <f t="shared" si="0"/>
        <v>20.784313725490193</v>
      </c>
      <c r="K33">
        <f t="shared" si="8"/>
        <v>0.81927988926317696</v>
      </c>
      <c r="L33" s="4">
        <f t="shared" si="5"/>
        <v>5.0168186744377126</v>
      </c>
      <c r="M33">
        <v>5</v>
      </c>
    </row>
    <row r="34" spans="1:13" x14ac:dyDescent="0.3">
      <c r="A34">
        <v>2014</v>
      </c>
      <c r="D34" t="s">
        <v>154</v>
      </c>
      <c r="E34">
        <v>30</v>
      </c>
      <c r="F34" s="7">
        <f t="shared" si="1"/>
        <v>14.796886024057486</v>
      </c>
      <c r="G34">
        <f t="shared" si="6"/>
        <v>3.1697040850914338</v>
      </c>
      <c r="H34">
        <f t="shared" si="7"/>
        <v>-0.28479198525319499</v>
      </c>
      <c r="I34">
        <v>25.3</v>
      </c>
      <c r="J34">
        <f t="shared" si="0"/>
        <v>24.803921568627452</v>
      </c>
      <c r="K34">
        <f t="shared" si="8"/>
        <v>0.90483367958275707</v>
      </c>
      <c r="L34" s="4">
        <f t="shared" si="5"/>
        <v>9.9995868532404089</v>
      </c>
      <c r="M34">
        <v>10</v>
      </c>
    </row>
    <row r="35" spans="1:13" x14ac:dyDescent="0.3">
      <c r="A35">
        <v>2014</v>
      </c>
      <c r="D35" t="s">
        <v>154</v>
      </c>
      <c r="E35">
        <v>30</v>
      </c>
      <c r="F35" s="7">
        <f t="shared" si="1"/>
        <v>14.796886024057486</v>
      </c>
      <c r="G35">
        <f t="shared" si="6"/>
        <v>3.1697040850914338</v>
      </c>
      <c r="H35">
        <f t="shared" si="7"/>
        <v>-0.28479198525319499</v>
      </c>
      <c r="I35">
        <v>30.2</v>
      </c>
      <c r="J35">
        <f t="shared" si="0"/>
        <v>29.6078431372549</v>
      </c>
      <c r="K35">
        <f t="shared" si="8"/>
        <v>0.95125765758292768</v>
      </c>
      <c r="L35" s="4">
        <f t="shared" si="5"/>
        <v>20.01187912462456</v>
      </c>
      <c r="M35">
        <v>20</v>
      </c>
    </row>
    <row r="36" spans="1:13" x14ac:dyDescent="0.3">
      <c r="A36">
        <v>2014</v>
      </c>
      <c r="D36" t="s">
        <v>154</v>
      </c>
      <c r="E36">
        <v>30</v>
      </c>
      <c r="F36" s="7">
        <f t="shared" si="1"/>
        <v>14.796886024057486</v>
      </c>
      <c r="G36">
        <f t="shared" si="6"/>
        <v>3.1697040850914338</v>
      </c>
      <c r="H36">
        <f t="shared" si="7"/>
        <v>-0.28479198525319499</v>
      </c>
      <c r="I36">
        <v>32</v>
      </c>
      <c r="J36">
        <f t="shared" si="0"/>
        <v>31.372549019607842</v>
      </c>
      <c r="K36">
        <f t="shared" si="8"/>
        <v>0.96092193709706475</v>
      </c>
      <c r="L36" s="4">
        <f t="shared" si="5"/>
        <v>25.086483003773125</v>
      </c>
      <c r="M36">
        <v>25</v>
      </c>
    </row>
    <row r="37" spans="1:13" x14ac:dyDescent="0.3">
      <c r="A37">
        <v>2014</v>
      </c>
      <c r="D37" t="s">
        <v>154</v>
      </c>
      <c r="E37">
        <v>30</v>
      </c>
      <c r="F37" s="7">
        <f t="shared" si="1"/>
        <v>14.796886024057486</v>
      </c>
      <c r="G37">
        <f t="shared" si="6"/>
        <v>3.1697040850914338</v>
      </c>
      <c r="H37">
        <f t="shared" si="7"/>
        <v>-0.28479198525319499</v>
      </c>
      <c r="I37">
        <v>38.200000000000003</v>
      </c>
      <c r="J37">
        <f t="shared" si="0"/>
        <v>37.450980392156865</v>
      </c>
      <c r="K37">
        <f t="shared" si="8"/>
        <v>0.98013671741264996</v>
      </c>
      <c r="L37" s="4">
        <f t="shared" si="5"/>
        <v>49.842474146728641</v>
      </c>
      <c r="M37">
        <v>50</v>
      </c>
    </row>
    <row r="38" spans="1:13" x14ac:dyDescent="0.3">
      <c r="A38">
        <v>2014</v>
      </c>
      <c r="D38" t="s">
        <v>154</v>
      </c>
      <c r="E38">
        <v>30</v>
      </c>
      <c r="F38" s="7">
        <f t="shared" si="1"/>
        <v>14.796886024057486</v>
      </c>
      <c r="G38">
        <f t="shared" si="6"/>
        <v>3.1697040850914338</v>
      </c>
      <c r="H38">
        <f t="shared" si="7"/>
        <v>-0.28479198525319499</v>
      </c>
      <c r="I38">
        <v>45.8</v>
      </c>
      <c r="J38">
        <f t="shared" si="0"/>
        <v>44.901960784313722</v>
      </c>
      <c r="K38">
        <f t="shared" si="8"/>
        <v>0.99003466183769506</v>
      </c>
      <c r="L38" s="4">
        <f t="shared" si="5"/>
        <v>99.846989389869606</v>
      </c>
      <c r="M38">
        <v>100</v>
      </c>
    </row>
    <row r="39" spans="1:13" x14ac:dyDescent="0.3">
      <c r="A39">
        <v>2014</v>
      </c>
      <c r="D39" t="s">
        <v>154</v>
      </c>
      <c r="E39">
        <v>30</v>
      </c>
      <c r="F39" s="7">
        <f t="shared" si="1"/>
        <v>14.796886024057486</v>
      </c>
      <c r="G39">
        <f t="shared" si="6"/>
        <v>3.1697040850914338</v>
      </c>
      <c r="H39">
        <f t="shared" si="7"/>
        <v>-0.28479198525319499</v>
      </c>
      <c r="I39">
        <v>55</v>
      </c>
      <c r="J39">
        <f t="shared" si="0"/>
        <v>53.921568627450981</v>
      </c>
      <c r="K39">
        <f t="shared" si="8"/>
        <v>0.99499958626504625</v>
      </c>
      <c r="L39" s="4">
        <f t="shared" si="5"/>
        <v>199.48303422485492</v>
      </c>
      <c r="M39">
        <v>200</v>
      </c>
    </row>
    <row r="40" spans="1:13" x14ac:dyDescent="0.3">
      <c r="A40">
        <v>2014</v>
      </c>
      <c r="D40" t="s">
        <v>154</v>
      </c>
      <c r="E40">
        <v>30</v>
      </c>
      <c r="F40" s="7">
        <f t="shared" si="1"/>
        <v>14.796886024057486</v>
      </c>
      <c r="G40">
        <f t="shared" si="6"/>
        <v>3.1697040850914338</v>
      </c>
      <c r="H40">
        <f t="shared" si="7"/>
        <v>-0.28479198525319499</v>
      </c>
      <c r="I40">
        <v>58.4</v>
      </c>
      <c r="J40">
        <f t="shared" si="0"/>
        <v>57.254901960784309</v>
      </c>
      <c r="K40">
        <f t="shared" si="8"/>
        <v>0.99600506936553534</v>
      </c>
      <c r="L40" s="4">
        <f t="shared" si="5"/>
        <v>249.81690381648556</v>
      </c>
      <c r="M40">
        <v>250</v>
      </c>
    </row>
    <row r="41" spans="1:13" x14ac:dyDescent="0.3">
      <c r="A41">
        <v>2014</v>
      </c>
      <c r="D41" t="s">
        <v>154</v>
      </c>
      <c r="E41">
        <v>30</v>
      </c>
      <c r="F41" s="7">
        <f t="shared" si="1"/>
        <v>14.796886024057486</v>
      </c>
      <c r="G41">
        <f t="shared" si="6"/>
        <v>3.1697040850914338</v>
      </c>
      <c r="H41">
        <f t="shared" si="7"/>
        <v>-0.28479198525319499</v>
      </c>
      <c r="I41">
        <v>70.400000000000006</v>
      </c>
      <c r="J41">
        <f t="shared" si="0"/>
        <v>69.019607843137265</v>
      </c>
      <c r="K41">
        <f t="shared" si="8"/>
        <v>0.99800603610244576</v>
      </c>
      <c r="L41" s="4">
        <f t="shared" si="5"/>
        <v>501.01342738527194</v>
      </c>
      <c r="M41">
        <v>500</v>
      </c>
    </row>
    <row r="42" spans="1:13" x14ac:dyDescent="0.3">
      <c r="A42">
        <v>2014</v>
      </c>
      <c r="D42" t="s">
        <v>154</v>
      </c>
      <c r="E42">
        <v>30</v>
      </c>
      <c r="F42" s="7">
        <f t="shared" si="1"/>
        <v>14.796886024057486</v>
      </c>
      <c r="G42">
        <f t="shared" si="6"/>
        <v>3.1697040850914338</v>
      </c>
      <c r="H42">
        <f t="shared" si="7"/>
        <v>-0.28479198525319499</v>
      </c>
      <c r="I42">
        <v>84.9</v>
      </c>
      <c r="J42">
        <f t="shared" si="0"/>
        <v>83.235294117647058</v>
      </c>
      <c r="K42">
        <f t="shared" si="8"/>
        <v>0.99899997507312699</v>
      </c>
      <c r="L42" s="4">
        <f t="shared" si="5"/>
        <v>999.4749903712169</v>
      </c>
      <c r="M42">
        <v>1000</v>
      </c>
    </row>
    <row r="43" spans="1:13" x14ac:dyDescent="0.3">
      <c r="A43">
        <v>2014</v>
      </c>
      <c r="D43" t="s">
        <v>154</v>
      </c>
      <c r="E43">
        <v>30</v>
      </c>
      <c r="F43" s="7">
        <f t="shared" si="1"/>
        <v>14.796886024057486</v>
      </c>
      <c r="G43">
        <f t="shared" si="6"/>
        <v>3.1697040850914338</v>
      </c>
      <c r="H43">
        <f t="shared" si="7"/>
        <v>-0.28479198525319499</v>
      </c>
      <c r="I43">
        <v>160</v>
      </c>
      <c r="J43">
        <f t="shared" si="0"/>
        <v>156.86274509803923</v>
      </c>
      <c r="K43">
        <f t="shared" si="8"/>
        <v>0.99989967625887555</v>
      </c>
      <c r="L43" s="4">
        <f t="shared" si="5"/>
        <v>9967.2303492969586</v>
      </c>
      <c r="M43">
        <v>10000</v>
      </c>
    </row>
    <row r="44" spans="1:13" x14ac:dyDescent="0.3">
      <c r="A44">
        <v>2014</v>
      </c>
      <c r="D44" t="s">
        <v>154</v>
      </c>
      <c r="E44">
        <v>60</v>
      </c>
      <c r="F44" s="7">
        <f t="shared" si="1"/>
        <v>17.839093656446494</v>
      </c>
      <c r="G44">
        <f t="shared" si="6"/>
        <v>3.8820997208206589</v>
      </c>
      <c r="H44">
        <f t="shared" si="7"/>
        <v>-0.30194005921755962</v>
      </c>
      <c r="I44">
        <v>12.6</v>
      </c>
      <c r="J44">
        <f t="shared" si="0"/>
        <v>12.352941176470587</v>
      </c>
      <c r="K44">
        <f t="shared" si="8"/>
        <v>0.13674793539426675</v>
      </c>
      <c r="L44" s="8">
        <f t="shared" si="5"/>
        <v>0.50260956508127785</v>
      </c>
      <c r="M44">
        <v>0.5</v>
      </c>
    </row>
    <row r="45" spans="1:13" x14ac:dyDescent="0.3">
      <c r="A45">
        <v>2014</v>
      </c>
      <c r="D45" t="s">
        <v>154</v>
      </c>
      <c r="E45">
        <v>60</v>
      </c>
      <c r="F45" s="7">
        <f t="shared" si="1"/>
        <v>17.839093656446494</v>
      </c>
      <c r="G45">
        <f t="shared" si="6"/>
        <v>3.8820997208206589</v>
      </c>
      <c r="H45">
        <f t="shared" si="7"/>
        <v>-0.30194005921755962</v>
      </c>
      <c r="I45">
        <v>16.2</v>
      </c>
      <c r="J45">
        <f t="shared" si="0"/>
        <v>15.882352941176469</v>
      </c>
      <c r="K45">
        <f t="shared" si="8"/>
        <v>0.36660838046693739</v>
      </c>
      <c r="L45" s="4">
        <f t="shared" si="5"/>
        <v>0.99655085392129417</v>
      </c>
      <c r="M45">
        <v>1</v>
      </c>
    </row>
    <row r="46" spans="1:13" x14ac:dyDescent="0.3">
      <c r="A46">
        <v>2014</v>
      </c>
      <c r="D46" t="s">
        <v>154</v>
      </c>
      <c r="E46">
        <v>60</v>
      </c>
      <c r="F46" s="7">
        <f t="shared" si="1"/>
        <v>17.839093656446494</v>
      </c>
      <c r="G46">
        <f t="shared" si="6"/>
        <v>3.8820997208206589</v>
      </c>
      <c r="H46">
        <f t="shared" si="7"/>
        <v>-0.30194005921755962</v>
      </c>
      <c r="I46">
        <v>20</v>
      </c>
      <c r="J46">
        <f t="shared" si="0"/>
        <v>19.607843137254903</v>
      </c>
      <c r="K46">
        <f t="shared" si="8"/>
        <v>0.60512942402179359</v>
      </c>
      <c r="L46" s="4">
        <f t="shared" si="5"/>
        <v>1.9907909204182717</v>
      </c>
      <c r="M46">
        <v>2</v>
      </c>
    </row>
    <row r="47" spans="1:13" x14ac:dyDescent="0.3">
      <c r="A47">
        <v>2014</v>
      </c>
      <c r="D47" t="s">
        <v>154</v>
      </c>
      <c r="E47">
        <v>60</v>
      </c>
      <c r="F47" s="7">
        <f t="shared" si="1"/>
        <v>17.839093656446494</v>
      </c>
      <c r="G47">
        <f t="shared" si="6"/>
        <v>3.8820997208206589</v>
      </c>
      <c r="H47">
        <f t="shared" si="7"/>
        <v>-0.30194005921755962</v>
      </c>
      <c r="I47">
        <v>25.8</v>
      </c>
      <c r="J47">
        <f t="shared" si="0"/>
        <v>25.294117647058822</v>
      </c>
      <c r="K47">
        <f t="shared" si="8"/>
        <v>0.8197423527805896</v>
      </c>
      <c r="L47" s="4">
        <f t="shared" si="5"/>
        <v>5.0310619773284255</v>
      </c>
      <c r="M47">
        <v>5</v>
      </c>
    </row>
    <row r="48" spans="1:13" x14ac:dyDescent="0.3">
      <c r="A48">
        <v>2014</v>
      </c>
      <c r="D48" t="s">
        <v>154</v>
      </c>
      <c r="E48">
        <v>60</v>
      </c>
      <c r="F48" s="7">
        <f t="shared" si="1"/>
        <v>17.839093656446494</v>
      </c>
      <c r="G48">
        <f t="shared" si="6"/>
        <v>3.8820997208206589</v>
      </c>
      <c r="H48">
        <f t="shared" si="7"/>
        <v>-0.30194005921755962</v>
      </c>
      <c r="I48">
        <v>31</v>
      </c>
      <c r="J48">
        <f t="shared" si="0"/>
        <v>30.392156862745097</v>
      </c>
      <c r="K48">
        <f t="shared" si="8"/>
        <v>0.90518755825802499</v>
      </c>
      <c r="L48" s="4">
        <f t="shared" si="5"/>
        <v>10.038839259096868</v>
      </c>
      <c r="M48">
        <v>10</v>
      </c>
    </row>
    <row r="49" spans="1:13" x14ac:dyDescent="0.3">
      <c r="A49">
        <v>2014</v>
      </c>
      <c r="D49" t="s">
        <v>154</v>
      </c>
      <c r="E49">
        <v>60</v>
      </c>
      <c r="F49" s="7">
        <f t="shared" si="1"/>
        <v>17.839093656446494</v>
      </c>
      <c r="G49">
        <f t="shared" si="6"/>
        <v>3.8820997208206589</v>
      </c>
      <c r="H49">
        <f t="shared" si="7"/>
        <v>-0.30194005921755962</v>
      </c>
      <c r="I49">
        <v>37.200000000000003</v>
      </c>
      <c r="J49">
        <f t="shared" si="0"/>
        <v>36.470588235294123</v>
      </c>
      <c r="K49">
        <f t="shared" si="8"/>
        <v>0.95104064638954111</v>
      </c>
      <c r="L49" s="4">
        <f t="shared" si="5"/>
        <v>19.920923231032912</v>
      </c>
      <c r="M49">
        <v>20</v>
      </c>
    </row>
    <row r="50" spans="1:13" x14ac:dyDescent="0.3">
      <c r="A50">
        <v>2014</v>
      </c>
      <c r="D50" t="s">
        <v>154</v>
      </c>
      <c r="E50">
        <v>60</v>
      </c>
      <c r="F50" s="7">
        <f t="shared" si="1"/>
        <v>17.839093656446494</v>
      </c>
      <c r="G50">
        <f t="shared" si="6"/>
        <v>3.8820997208206589</v>
      </c>
      <c r="H50">
        <f t="shared" si="7"/>
        <v>-0.30194005921755962</v>
      </c>
      <c r="I50">
        <v>39.5</v>
      </c>
      <c r="J50">
        <f t="shared" si="0"/>
        <v>38.725490196078432</v>
      </c>
      <c r="K50">
        <f t="shared" si="8"/>
        <v>0.96066932324506626</v>
      </c>
      <c r="L50" s="4">
        <f t="shared" si="5"/>
        <v>24.922102389036596</v>
      </c>
      <c r="M50">
        <v>25</v>
      </c>
    </row>
    <row r="51" spans="1:13" x14ac:dyDescent="0.3">
      <c r="A51">
        <v>2014</v>
      </c>
      <c r="D51" t="s">
        <v>154</v>
      </c>
      <c r="E51">
        <v>60</v>
      </c>
      <c r="F51" s="7">
        <f t="shared" si="1"/>
        <v>17.839093656446494</v>
      </c>
      <c r="G51">
        <f t="shared" si="6"/>
        <v>3.8820997208206589</v>
      </c>
      <c r="H51">
        <f t="shared" si="7"/>
        <v>-0.30194005921755962</v>
      </c>
      <c r="I51">
        <v>47.7</v>
      </c>
      <c r="J51">
        <f t="shared" si="0"/>
        <v>46.764705882352942</v>
      </c>
      <c r="K51">
        <f t="shared" si="8"/>
        <v>0.98022499805479413</v>
      </c>
      <c r="L51" s="4">
        <f t="shared" si="5"/>
        <v>50.067230734530568</v>
      </c>
      <c r="M51">
        <v>50</v>
      </c>
    </row>
    <row r="52" spans="1:13" x14ac:dyDescent="0.3">
      <c r="A52">
        <v>2014</v>
      </c>
      <c r="D52" t="s">
        <v>154</v>
      </c>
      <c r="E52">
        <v>60</v>
      </c>
      <c r="F52" s="7">
        <f t="shared" si="1"/>
        <v>17.839093656446494</v>
      </c>
      <c r="G52">
        <f t="shared" si="6"/>
        <v>3.8820997208206589</v>
      </c>
      <c r="H52">
        <f t="shared" si="7"/>
        <v>-0.30194005921755962</v>
      </c>
      <c r="I52">
        <v>57.7</v>
      </c>
      <c r="J52">
        <f t="shared" si="0"/>
        <v>56.568627450980394</v>
      </c>
      <c r="K52">
        <f t="shared" si="8"/>
        <v>0.99006245059046805</v>
      </c>
      <c r="L52" s="4">
        <f t="shared" si="5"/>
        <v>100.12759822021226</v>
      </c>
      <c r="M52">
        <v>100</v>
      </c>
    </row>
    <row r="53" spans="1:13" x14ac:dyDescent="0.3">
      <c r="A53">
        <v>2014</v>
      </c>
      <c r="D53" t="s">
        <v>154</v>
      </c>
      <c r="E53">
        <v>60</v>
      </c>
      <c r="F53" s="7">
        <f t="shared" si="1"/>
        <v>17.839093656446494</v>
      </c>
      <c r="G53">
        <f t="shared" si="6"/>
        <v>3.8820997208206589</v>
      </c>
      <c r="H53">
        <f t="shared" si="7"/>
        <v>-0.30194005921755962</v>
      </c>
      <c r="I53">
        <v>70</v>
      </c>
      <c r="J53">
        <f t="shared" si="0"/>
        <v>68.627450980392155</v>
      </c>
      <c r="K53">
        <f t="shared" si="8"/>
        <v>0.99501916884758745</v>
      </c>
      <c r="L53" s="4">
        <f t="shared" si="5"/>
        <v>200.26928866796888</v>
      </c>
      <c r="M53">
        <v>200</v>
      </c>
    </row>
    <row r="54" spans="1:13" x14ac:dyDescent="0.3">
      <c r="A54">
        <v>2014</v>
      </c>
      <c r="D54" t="s">
        <v>154</v>
      </c>
      <c r="E54">
        <v>60</v>
      </c>
      <c r="F54" s="7">
        <f t="shared" si="1"/>
        <v>17.839093656446494</v>
      </c>
      <c r="G54">
        <f t="shared" si="6"/>
        <v>3.8820997208206589</v>
      </c>
      <c r="H54">
        <f t="shared" si="7"/>
        <v>-0.30194005921755962</v>
      </c>
      <c r="I54">
        <v>74.5</v>
      </c>
      <c r="J54">
        <f t="shared" si="0"/>
        <v>73.039215686274503</v>
      </c>
      <c r="K54">
        <f t="shared" si="8"/>
        <v>0.99600668595597097</v>
      </c>
      <c r="L54" s="4">
        <f t="shared" si="5"/>
        <v>249.91823844419125</v>
      </c>
      <c r="M54">
        <v>250</v>
      </c>
    </row>
    <row r="55" spans="1:13" x14ac:dyDescent="0.3">
      <c r="A55">
        <v>2014</v>
      </c>
      <c r="D55" t="s">
        <v>154</v>
      </c>
      <c r="E55">
        <v>60</v>
      </c>
      <c r="F55" s="7">
        <f t="shared" si="1"/>
        <v>17.839093656446494</v>
      </c>
      <c r="G55">
        <f t="shared" si="6"/>
        <v>3.8820997208206589</v>
      </c>
      <c r="H55">
        <f t="shared" si="7"/>
        <v>-0.30194005921755962</v>
      </c>
      <c r="I55">
        <v>90.7</v>
      </c>
      <c r="J55">
        <f t="shared" si="0"/>
        <v>88.921568627450981</v>
      </c>
      <c r="K55">
        <f t="shared" si="8"/>
        <v>0.99800238263652996</v>
      </c>
      <c r="L55" s="4">
        <f t="shared" si="5"/>
        <v>500.09620296389153</v>
      </c>
      <c r="M55">
        <v>500</v>
      </c>
    </row>
    <row r="56" spans="1:13" x14ac:dyDescent="0.3">
      <c r="A56">
        <v>2014</v>
      </c>
      <c r="D56" t="s">
        <v>154</v>
      </c>
      <c r="E56">
        <v>60</v>
      </c>
      <c r="F56" s="7">
        <f t="shared" si="1"/>
        <v>17.839093656446494</v>
      </c>
      <c r="G56">
        <f t="shared" si="6"/>
        <v>3.8820997208206589</v>
      </c>
      <c r="H56">
        <f t="shared" si="7"/>
        <v>-0.30194005921755962</v>
      </c>
      <c r="I56">
        <v>110.6</v>
      </c>
      <c r="J56">
        <f t="shared" si="0"/>
        <v>108.4313725490196</v>
      </c>
      <c r="K56">
        <f t="shared" si="8"/>
        <v>0.99899918693977885</v>
      </c>
      <c r="L56" s="4">
        <f t="shared" si="5"/>
        <v>998.68751686587257</v>
      </c>
      <c r="M56">
        <v>1000</v>
      </c>
    </row>
    <row r="57" spans="1:13" x14ac:dyDescent="0.3">
      <c r="A57">
        <v>2014</v>
      </c>
      <c r="D57" t="s">
        <v>154</v>
      </c>
      <c r="E57">
        <v>60</v>
      </c>
      <c r="F57" s="7">
        <f t="shared" si="1"/>
        <v>17.839093656446494</v>
      </c>
      <c r="G57">
        <f t="shared" si="6"/>
        <v>3.8820997208206589</v>
      </c>
      <c r="H57">
        <f t="shared" si="7"/>
        <v>-0.30194005921755962</v>
      </c>
      <c r="I57">
        <v>220</v>
      </c>
      <c r="J57">
        <f t="shared" si="0"/>
        <v>215.68627450980392</v>
      </c>
      <c r="K57">
        <f t="shared" si="8"/>
        <v>0.99990503887193938</v>
      </c>
      <c r="L57" s="4">
        <f t="shared" si="5"/>
        <v>10530.124684766875</v>
      </c>
      <c r="M57">
        <v>10000</v>
      </c>
    </row>
    <row r="58" spans="1:13" x14ac:dyDescent="0.3">
      <c r="A58">
        <v>2014</v>
      </c>
      <c r="D58" t="s">
        <v>154</v>
      </c>
      <c r="E58">
        <v>120</v>
      </c>
      <c r="F58" s="7">
        <f t="shared" si="1"/>
        <v>21.396742492385926</v>
      </c>
      <c r="G58">
        <f t="shared" si="6"/>
        <v>4.5117869717518833</v>
      </c>
      <c r="H58">
        <f t="shared" si="7"/>
        <v>-0.30756138896750557</v>
      </c>
      <c r="I58">
        <v>15.3</v>
      </c>
      <c r="J58">
        <f t="shared" si="0"/>
        <v>15</v>
      </c>
      <c r="K58">
        <f t="shared" si="8"/>
        <v>0.13442443216476022</v>
      </c>
      <c r="L58" s="8">
        <f t="shared" si="5"/>
        <v>0.49831741121021339</v>
      </c>
      <c r="M58">
        <v>0.5</v>
      </c>
    </row>
    <row r="59" spans="1:13" x14ac:dyDescent="0.3">
      <c r="A59">
        <v>2014</v>
      </c>
      <c r="D59" t="s">
        <v>154</v>
      </c>
      <c r="E59">
        <v>120</v>
      </c>
      <c r="F59" s="7">
        <f t="shared" si="1"/>
        <v>21.396742492385926</v>
      </c>
      <c r="G59">
        <f t="shared" si="6"/>
        <v>4.5117869717518833</v>
      </c>
      <c r="H59">
        <f t="shared" si="7"/>
        <v>-0.30756138896750557</v>
      </c>
      <c r="I59">
        <v>19.5</v>
      </c>
      <c r="J59">
        <f t="shared" si="0"/>
        <v>19.117647058823529</v>
      </c>
      <c r="K59">
        <f t="shared" si="8"/>
        <v>0.36609920985437006</v>
      </c>
      <c r="L59" s="4">
        <f t="shared" si="5"/>
        <v>0.99517250066283724</v>
      </c>
      <c r="M59">
        <v>1</v>
      </c>
    </row>
    <row r="60" spans="1:13" x14ac:dyDescent="0.3">
      <c r="A60">
        <v>2014</v>
      </c>
      <c r="D60" t="s">
        <v>154</v>
      </c>
      <c r="E60">
        <v>120</v>
      </c>
      <c r="F60" s="7">
        <f t="shared" si="1"/>
        <v>21.396742492385926</v>
      </c>
      <c r="G60">
        <f t="shared" si="6"/>
        <v>4.5117869717518833</v>
      </c>
      <c r="H60">
        <f t="shared" si="7"/>
        <v>-0.30756138896750557</v>
      </c>
      <c r="I60">
        <v>24</v>
      </c>
      <c r="J60">
        <f t="shared" si="0"/>
        <v>23.52941176470588</v>
      </c>
      <c r="K60">
        <f t="shared" si="8"/>
        <v>0.60857667063091614</v>
      </c>
      <c r="L60" s="4">
        <f t="shared" si="5"/>
        <v>2.0135618420002279</v>
      </c>
      <c r="M60">
        <v>2</v>
      </c>
    </row>
    <row r="61" spans="1:13" x14ac:dyDescent="0.3">
      <c r="A61">
        <v>2014</v>
      </c>
      <c r="D61" t="s">
        <v>154</v>
      </c>
      <c r="E61">
        <v>120</v>
      </c>
      <c r="F61" s="7">
        <f t="shared" si="1"/>
        <v>21.396742492385926</v>
      </c>
      <c r="G61">
        <f t="shared" si="6"/>
        <v>4.5117869717518833</v>
      </c>
      <c r="H61">
        <f t="shared" si="7"/>
        <v>-0.30756138896750557</v>
      </c>
      <c r="I61">
        <v>30.7</v>
      </c>
      <c r="J61">
        <f t="shared" si="0"/>
        <v>30.098039215686274</v>
      </c>
      <c r="K61">
        <f t="shared" si="8"/>
        <v>0.81968570749469605</v>
      </c>
      <c r="L61" s="4">
        <f t="shared" si="5"/>
        <v>5.0293134606599246</v>
      </c>
      <c r="M61">
        <v>5</v>
      </c>
    </row>
    <row r="62" spans="1:13" x14ac:dyDescent="0.3">
      <c r="A62">
        <v>2014</v>
      </c>
      <c r="D62" t="s">
        <v>154</v>
      </c>
      <c r="E62">
        <v>120</v>
      </c>
      <c r="F62" s="7">
        <f t="shared" si="1"/>
        <v>21.396742492385926</v>
      </c>
      <c r="G62">
        <f t="shared" si="6"/>
        <v>4.5117869717518833</v>
      </c>
      <c r="H62">
        <f t="shared" si="7"/>
        <v>-0.30756138896750557</v>
      </c>
      <c r="I62">
        <v>36.799999999999997</v>
      </c>
      <c r="J62">
        <f t="shared" si="0"/>
        <v>36.078431372549019</v>
      </c>
      <c r="K62">
        <f t="shared" si="8"/>
        <v>0.9050837265594941</v>
      </c>
      <c r="L62" s="4">
        <f t="shared" si="5"/>
        <v>10.027291879322673</v>
      </c>
      <c r="M62">
        <v>10</v>
      </c>
    </row>
    <row r="63" spans="1:13" x14ac:dyDescent="0.3">
      <c r="A63">
        <v>2014</v>
      </c>
      <c r="D63" t="s">
        <v>154</v>
      </c>
      <c r="E63">
        <v>120</v>
      </c>
      <c r="F63" s="7">
        <f t="shared" si="1"/>
        <v>21.396742492385926</v>
      </c>
      <c r="G63">
        <f t="shared" si="6"/>
        <v>4.5117869717518833</v>
      </c>
      <c r="H63">
        <f t="shared" si="7"/>
        <v>-0.30756138896750557</v>
      </c>
      <c r="I63">
        <v>44.2</v>
      </c>
      <c r="J63">
        <f t="shared" si="0"/>
        <v>43.333333333333336</v>
      </c>
      <c r="K63">
        <f t="shared" si="8"/>
        <v>0.95134869117521359</v>
      </c>
      <c r="L63" s="4">
        <f t="shared" si="5"/>
        <v>20.050275563935909</v>
      </c>
      <c r="M63">
        <v>20</v>
      </c>
    </row>
    <row r="64" spans="1:13" x14ac:dyDescent="0.3">
      <c r="A64">
        <v>2014</v>
      </c>
      <c r="D64" t="s">
        <v>154</v>
      </c>
      <c r="E64">
        <v>120</v>
      </c>
      <c r="F64" s="7">
        <f t="shared" si="1"/>
        <v>21.396742492385926</v>
      </c>
      <c r="G64">
        <f t="shared" si="6"/>
        <v>4.5117869717518833</v>
      </c>
      <c r="H64">
        <f t="shared" si="7"/>
        <v>-0.30756138896750557</v>
      </c>
      <c r="I64">
        <v>46.9</v>
      </c>
      <c r="J64">
        <f t="shared" si="0"/>
        <v>45.980392156862742</v>
      </c>
      <c r="K64">
        <f t="shared" si="8"/>
        <v>0.96084193929072825</v>
      </c>
      <c r="L64" s="4">
        <f t="shared" si="5"/>
        <v>25.034197475316656</v>
      </c>
      <c r="M64">
        <v>25</v>
      </c>
    </row>
    <row r="65" spans="1:13" x14ac:dyDescent="0.3">
      <c r="A65">
        <v>2014</v>
      </c>
      <c r="D65" t="s">
        <v>154</v>
      </c>
      <c r="E65">
        <v>120</v>
      </c>
      <c r="F65" s="7">
        <f t="shared" si="1"/>
        <v>21.396742492385926</v>
      </c>
      <c r="G65">
        <f t="shared" si="6"/>
        <v>4.5117869717518833</v>
      </c>
      <c r="H65">
        <f t="shared" si="7"/>
        <v>-0.30756138896750557</v>
      </c>
      <c r="I65">
        <v>56.5</v>
      </c>
      <c r="J65">
        <f t="shared" si="0"/>
        <v>55.392156862745097</v>
      </c>
      <c r="K65">
        <f t="shared" si="8"/>
        <v>0.9801404668924899</v>
      </c>
      <c r="L65" s="4">
        <f t="shared" si="5"/>
        <v>49.851979440261147</v>
      </c>
      <c r="M65">
        <v>50</v>
      </c>
    </row>
    <row r="66" spans="1:13" x14ac:dyDescent="0.3">
      <c r="A66">
        <v>2014</v>
      </c>
      <c r="D66" t="s">
        <v>154</v>
      </c>
      <c r="E66">
        <v>120</v>
      </c>
      <c r="F66" s="7">
        <f t="shared" si="1"/>
        <v>21.396742492385926</v>
      </c>
      <c r="G66">
        <f t="shared" si="6"/>
        <v>4.5117869717518833</v>
      </c>
      <c r="H66">
        <f t="shared" si="7"/>
        <v>-0.30756138896750557</v>
      </c>
      <c r="I66">
        <v>68.400000000000006</v>
      </c>
      <c r="J66">
        <f t="shared" si="0"/>
        <v>67.058823529411768</v>
      </c>
      <c r="K66">
        <f t="shared" si="8"/>
        <v>0.99002575671616488</v>
      </c>
      <c r="L66" s="4">
        <f t="shared" si="5"/>
        <v>99.757396924667972</v>
      </c>
      <c r="M66">
        <v>100</v>
      </c>
    </row>
    <row r="67" spans="1:13" x14ac:dyDescent="0.3">
      <c r="A67">
        <v>2014</v>
      </c>
      <c r="D67" t="s">
        <v>154</v>
      </c>
      <c r="E67">
        <v>120</v>
      </c>
      <c r="F67" s="7">
        <f t="shared" si="1"/>
        <v>21.396742492385926</v>
      </c>
      <c r="G67">
        <f t="shared" si="6"/>
        <v>4.5117869717518833</v>
      </c>
      <c r="H67">
        <f t="shared" si="7"/>
        <v>-0.30756138896750557</v>
      </c>
      <c r="I67">
        <v>83.1</v>
      </c>
      <c r="J67">
        <f t="shared" ref="J67:J113" si="9">I67/1.02</f>
        <v>81.470588235294116</v>
      </c>
      <c r="K67">
        <f t="shared" si="8"/>
        <v>0.99500437832485211</v>
      </c>
      <c r="L67" s="4">
        <f t="shared" si="5"/>
        <v>199.67486914136927</v>
      </c>
      <c r="M67">
        <v>200</v>
      </c>
    </row>
    <row r="68" spans="1:13" x14ac:dyDescent="0.3">
      <c r="A68">
        <v>2014</v>
      </c>
      <c r="D68" t="s">
        <v>154</v>
      </c>
      <c r="E68">
        <v>120</v>
      </c>
      <c r="F68" s="7">
        <f t="shared" si="1"/>
        <v>21.396742492385926</v>
      </c>
      <c r="G68">
        <f t="shared" si="6"/>
        <v>4.5117869717518833</v>
      </c>
      <c r="H68">
        <f t="shared" si="7"/>
        <v>-0.30756138896750557</v>
      </c>
      <c r="I68">
        <v>88.6</v>
      </c>
      <c r="J68">
        <f t="shared" si="9"/>
        <v>86.862745098039213</v>
      </c>
      <c r="K68">
        <f t="shared" si="8"/>
        <v>0.99601280677318405</v>
      </c>
      <c r="L68" s="4">
        <f t="shared" si="5"/>
        <v>250.30266133517469</v>
      </c>
      <c r="M68">
        <v>250</v>
      </c>
    </row>
    <row r="69" spans="1:13" x14ac:dyDescent="0.3">
      <c r="A69">
        <v>2014</v>
      </c>
      <c r="D69" t="s">
        <v>154</v>
      </c>
      <c r="E69">
        <v>120</v>
      </c>
      <c r="F69" s="7">
        <f t="shared" si="1"/>
        <v>21.396742492385926</v>
      </c>
      <c r="G69">
        <f t="shared" si="6"/>
        <v>4.5117869717518833</v>
      </c>
      <c r="H69">
        <f t="shared" si="7"/>
        <v>-0.30756138896750557</v>
      </c>
      <c r="I69">
        <v>108</v>
      </c>
      <c r="J69">
        <f t="shared" si="9"/>
        <v>105.88235294117646</v>
      </c>
      <c r="K69">
        <f t="shared" si="8"/>
        <v>0.99800100087255594</v>
      </c>
      <c r="L69" s="4">
        <f t="shared" si="5"/>
        <v>499.75017666994347</v>
      </c>
      <c r="M69">
        <v>500</v>
      </c>
    </row>
    <row r="70" spans="1:13" x14ac:dyDescent="0.3">
      <c r="A70">
        <v>2014</v>
      </c>
      <c r="D70" t="s">
        <v>154</v>
      </c>
      <c r="E70">
        <v>120</v>
      </c>
      <c r="F70" s="7">
        <f t="shared" ref="F70:F113" si="10">7.339+0.848*LOG(E70) + 2.844 *LOG(E70)^2</f>
        <v>21.396742492385926</v>
      </c>
      <c r="G70">
        <f t="shared" si="6"/>
        <v>4.5117869717518833</v>
      </c>
      <c r="H70">
        <f t="shared" si="7"/>
        <v>-0.30756138896750557</v>
      </c>
      <c r="I70">
        <v>132.1</v>
      </c>
      <c r="J70">
        <f t="shared" si="9"/>
        <v>129.50980392156862</v>
      </c>
      <c r="K70">
        <f t="shared" si="8"/>
        <v>0.99900126737983586</v>
      </c>
      <c r="L70" s="4">
        <f t="shared" ref="L70:L113" si="11">-1/LN(K70)</f>
        <v>1000.7689048565124</v>
      </c>
      <c r="M70">
        <v>1000</v>
      </c>
    </row>
    <row r="71" spans="1:13" x14ac:dyDescent="0.3">
      <c r="A71">
        <v>2014</v>
      </c>
      <c r="D71" t="s">
        <v>154</v>
      </c>
      <c r="E71">
        <v>120</v>
      </c>
      <c r="F71" s="7">
        <f t="shared" si="10"/>
        <v>21.396742492385926</v>
      </c>
      <c r="G71">
        <f t="shared" si="6"/>
        <v>4.5117869717518833</v>
      </c>
      <c r="H71">
        <f t="shared" si="7"/>
        <v>-0.30756138896750557</v>
      </c>
      <c r="I71">
        <v>260</v>
      </c>
      <c r="J71">
        <f t="shared" si="9"/>
        <v>254.90196078431373</v>
      </c>
      <c r="K71">
        <f t="shared" si="8"/>
        <v>0.99989857409935545</v>
      </c>
      <c r="L71" s="4">
        <f t="shared" si="11"/>
        <v>9858.9145360093426</v>
      </c>
      <c r="M71">
        <v>10000</v>
      </c>
    </row>
    <row r="72" spans="1:13" x14ac:dyDescent="0.3">
      <c r="A72">
        <v>2014</v>
      </c>
      <c r="D72" t="s">
        <v>154</v>
      </c>
      <c r="E72">
        <v>240</v>
      </c>
      <c r="F72" s="7">
        <f t="shared" si="10"/>
        <v>25.469832531875788</v>
      </c>
      <c r="G72">
        <f t="shared" si="6"/>
        <v>5.115334821006214</v>
      </c>
      <c r="H72">
        <f t="shared" si="7"/>
        <v>-0.30165597450303255</v>
      </c>
      <c r="I72">
        <v>18.600000000000001</v>
      </c>
      <c r="J72">
        <f t="shared" si="9"/>
        <v>18.235294117647062</v>
      </c>
      <c r="K72">
        <f t="shared" si="8"/>
        <v>0.13659227378488839</v>
      </c>
      <c r="L72" s="8">
        <f t="shared" si="11"/>
        <v>0.50232201003482257</v>
      </c>
      <c r="M72">
        <v>0.5</v>
      </c>
    </row>
    <row r="73" spans="1:13" x14ac:dyDescent="0.3">
      <c r="A73">
        <v>2014</v>
      </c>
      <c r="D73" t="s">
        <v>154</v>
      </c>
      <c r="E73">
        <v>240</v>
      </c>
      <c r="F73" s="7">
        <f t="shared" si="10"/>
        <v>25.469832531875788</v>
      </c>
      <c r="G73">
        <f t="shared" si="6"/>
        <v>5.115334821006214</v>
      </c>
      <c r="H73">
        <f t="shared" si="7"/>
        <v>-0.30165597450303255</v>
      </c>
      <c r="I73">
        <v>23.4</v>
      </c>
      <c r="J73">
        <f t="shared" si="9"/>
        <v>22.941176470588232</v>
      </c>
      <c r="K73">
        <f t="shared" si="8"/>
        <v>0.36927820686857221</v>
      </c>
      <c r="L73" s="4">
        <f t="shared" si="11"/>
        <v>1.0038094862468687</v>
      </c>
      <c r="M73">
        <v>1</v>
      </c>
    </row>
    <row r="74" spans="1:13" x14ac:dyDescent="0.3">
      <c r="A74">
        <v>2014</v>
      </c>
      <c r="D74" t="s">
        <v>154</v>
      </c>
      <c r="E74">
        <v>240</v>
      </c>
      <c r="F74" s="7">
        <f t="shared" si="10"/>
        <v>25.469832531875788</v>
      </c>
      <c r="G74">
        <f t="shared" si="6"/>
        <v>5.115334821006214</v>
      </c>
      <c r="H74">
        <f t="shared" si="7"/>
        <v>-0.30165597450303255</v>
      </c>
      <c r="I74">
        <v>28.4</v>
      </c>
      <c r="J74">
        <f t="shared" si="9"/>
        <v>27.843137254901958</v>
      </c>
      <c r="K74">
        <f t="shared" si="8"/>
        <v>0.60688452422773687</v>
      </c>
      <c r="L74" s="4">
        <f t="shared" si="11"/>
        <v>2.0023357399681911</v>
      </c>
      <c r="M74">
        <v>2</v>
      </c>
    </row>
    <row r="75" spans="1:13" x14ac:dyDescent="0.3">
      <c r="A75">
        <v>2014</v>
      </c>
      <c r="D75" t="s">
        <v>154</v>
      </c>
      <c r="E75">
        <v>240</v>
      </c>
      <c r="F75" s="7">
        <f t="shared" si="10"/>
        <v>25.469832531875788</v>
      </c>
      <c r="G75">
        <f t="shared" si="6"/>
        <v>5.115334821006214</v>
      </c>
      <c r="H75">
        <f t="shared" si="7"/>
        <v>-0.30165597450303255</v>
      </c>
      <c r="I75">
        <v>35.9</v>
      </c>
      <c r="J75">
        <f t="shared" si="9"/>
        <v>35.196078431372548</v>
      </c>
      <c r="K75">
        <f t="shared" si="8"/>
        <v>0.81799938505612746</v>
      </c>
      <c r="L75" s="4">
        <f t="shared" si="11"/>
        <v>4.9777570384027641</v>
      </c>
      <c r="M75">
        <v>5</v>
      </c>
    </row>
    <row r="76" spans="1:13" x14ac:dyDescent="0.3">
      <c r="A76">
        <v>2014</v>
      </c>
      <c r="D76" t="s">
        <v>154</v>
      </c>
      <c r="E76">
        <v>240</v>
      </c>
      <c r="F76" s="7">
        <f t="shared" si="10"/>
        <v>25.469832531875788</v>
      </c>
      <c r="G76">
        <f t="shared" si="6"/>
        <v>5.115334821006214</v>
      </c>
      <c r="H76">
        <f t="shared" si="7"/>
        <v>-0.30165597450303255</v>
      </c>
      <c r="I76">
        <v>42.8</v>
      </c>
      <c r="J76">
        <f t="shared" si="9"/>
        <v>41.960784313725483</v>
      </c>
      <c r="K76">
        <f t="shared" si="8"/>
        <v>0.90481311378320572</v>
      </c>
      <c r="L76" s="4">
        <f t="shared" si="11"/>
        <v>9.997314649896726</v>
      </c>
      <c r="M76">
        <v>10</v>
      </c>
    </row>
    <row r="77" spans="1:13" x14ac:dyDescent="0.3">
      <c r="A77">
        <v>2014</v>
      </c>
      <c r="D77" t="s">
        <v>154</v>
      </c>
      <c r="E77">
        <v>240</v>
      </c>
      <c r="F77" s="7">
        <f t="shared" si="10"/>
        <v>25.469832531875788</v>
      </c>
      <c r="G77">
        <f t="shared" si="6"/>
        <v>5.115334821006214</v>
      </c>
      <c r="H77">
        <f t="shared" si="7"/>
        <v>-0.30165597450303255</v>
      </c>
      <c r="I77">
        <v>51.1</v>
      </c>
      <c r="J77">
        <f t="shared" si="9"/>
        <v>50.098039215686278</v>
      </c>
      <c r="K77">
        <f t="shared" si="8"/>
        <v>0.95137350397596676</v>
      </c>
      <c r="L77" s="4">
        <f t="shared" si="11"/>
        <v>20.060766113982805</v>
      </c>
      <c r="M77">
        <v>20</v>
      </c>
    </row>
    <row r="78" spans="1:13" x14ac:dyDescent="0.3">
      <c r="A78">
        <v>2014</v>
      </c>
      <c r="D78" t="s">
        <v>154</v>
      </c>
      <c r="E78">
        <v>240</v>
      </c>
      <c r="F78" s="7">
        <f t="shared" si="10"/>
        <v>25.469832531875788</v>
      </c>
      <c r="G78">
        <f t="shared" si="6"/>
        <v>5.115334821006214</v>
      </c>
      <c r="H78">
        <f t="shared" si="7"/>
        <v>-0.30165597450303255</v>
      </c>
      <c r="I78">
        <v>54.1</v>
      </c>
      <c r="J78">
        <f t="shared" si="9"/>
        <v>53.03921568627451</v>
      </c>
      <c r="K78">
        <f t="shared" si="8"/>
        <v>0.96084467391360728</v>
      </c>
      <c r="L78" s="4">
        <f t="shared" si="11"/>
        <v>25.035981263018638</v>
      </c>
      <c r="M78">
        <v>25</v>
      </c>
    </row>
    <row r="79" spans="1:13" x14ac:dyDescent="0.3">
      <c r="A79">
        <v>2014</v>
      </c>
      <c r="D79" t="s">
        <v>154</v>
      </c>
      <c r="E79">
        <v>240</v>
      </c>
      <c r="F79" s="7">
        <f t="shared" si="10"/>
        <v>25.469832531875788</v>
      </c>
      <c r="G79">
        <f t="shared" si="6"/>
        <v>5.115334821006214</v>
      </c>
      <c r="H79">
        <f t="shared" si="7"/>
        <v>-0.30165597450303255</v>
      </c>
      <c r="I79">
        <v>64.8</v>
      </c>
      <c r="J79">
        <f t="shared" si="9"/>
        <v>63.529411764705877</v>
      </c>
      <c r="K79">
        <f t="shared" si="8"/>
        <v>0.9801902709471183</v>
      </c>
      <c r="L79" s="4">
        <f t="shared" si="11"/>
        <v>49.978578842998559</v>
      </c>
      <c r="M79">
        <v>50</v>
      </c>
    </row>
    <row r="80" spans="1:13" x14ac:dyDescent="0.3">
      <c r="A80">
        <v>2014</v>
      </c>
      <c r="D80" t="s">
        <v>154</v>
      </c>
      <c r="E80">
        <v>240</v>
      </c>
      <c r="F80" s="7">
        <f t="shared" si="10"/>
        <v>25.469832531875788</v>
      </c>
      <c r="G80">
        <f t="shared" si="6"/>
        <v>5.115334821006214</v>
      </c>
      <c r="H80">
        <f t="shared" si="7"/>
        <v>-0.30165597450303255</v>
      </c>
      <c r="I80">
        <v>78</v>
      </c>
      <c r="J80">
        <f t="shared" si="9"/>
        <v>76.470588235294116</v>
      </c>
      <c r="K80">
        <f t="shared" si="8"/>
        <v>0.99006664842979708</v>
      </c>
      <c r="L80" s="4">
        <f t="shared" si="11"/>
        <v>100.17012419846677</v>
      </c>
      <c r="M80">
        <v>100</v>
      </c>
    </row>
    <row r="81" spans="1:13" x14ac:dyDescent="0.3">
      <c r="A81">
        <v>2014</v>
      </c>
      <c r="D81" t="s">
        <v>154</v>
      </c>
      <c r="E81">
        <v>240</v>
      </c>
      <c r="F81" s="7">
        <f t="shared" si="10"/>
        <v>25.469832531875788</v>
      </c>
      <c r="G81">
        <f t="shared" si="6"/>
        <v>5.115334821006214</v>
      </c>
      <c r="H81">
        <f t="shared" si="7"/>
        <v>-0.30165597450303255</v>
      </c>
      <c r="I81">
        <v>94.1</v>
      </c>
      <c r="J81">
        <f t="shared" si="9"/>
        <v>92.254901960784309</v>
      </c>
      <c r="K81">
        <f t="shared" si="8"/>
        <v>0.99500460975725613</v>
      </c>
      <c r="L81" s="4">
        <f t="shared" si="11"/>
        <v>199.68414312044803</v>
      </c>
      <c r="M81">
        <v>200</v>
      </c>
    </row>
    <row r="82" spans="1:13" x14ac:dyDescent="0.3">
      <c r="A82">
        <v>2014</v>
      </c>
      <c r="D82" t="s">
        <v>154</v>
      </c>
      <c r="E82">
        <v>240</v>
      </c>
      <c r="F82" s="7">
        <f t="shared" si="10"/>
        <v>25.469832531875788</v>
      </c>
      <c r="G82">
        <f t="shared" ref="G82:G110" si="12">IF(E82&lt;=104,F82*(0.04704+0.1978*LOG(E82)-0.05729*LOG(E82)^2),F82*(0.2801-0.0333*LOG(E82)))</f>
        <v>5.115334821006214</v>
      </c>
      <c r="H82">
        <f t="shared" ref="H82:H110" si="13">-0.0336 -0.264 *LOG(E82) + 0.0636 *LOG(E82)^2</f>
        <v>-0.30165597450303255</v>
      </c>
      <c r="I82">
        <v>100.1</v>
      </c>
      <c r="J82">
        <f t="shared" si="9"/>
        <v>98.137254901960773</v>
      </c>
      <c r="K82">
        <f t="shared" ref="K82:K126" si="14">GLOCDF(F82,G82,H82,J82)</f>
        <v>0.99600725750696917</v>
      </c>
      <c r="L82" s="4">
        <f t="shared" si="11"/>
        <v>249.95408527776789</v>
      </c>
      <c r="M82">
        <v>250</v>
      </c>
    </row>
    <row r="83" spans="1:13" x14ac:dyDescent="0.3">
      <c r="A83">
        <v>2014</v>
      </c>
      <c r="D83" t="s">
        <v>154</v>
      </c>
      <c r="E83">
        <v>240</v>
      </c>
      <c r="F83" s="7">
        <f t="shared" si="10"/>
        <v>25.469832531875788</v>
      </c>
      <c r="G83">
        <f t="shared" si="12"/>
        <v>5.115334821006214</v>
      </c>
      <c r="H83">
        <f t="shared" si="13"/>
        <v>-0.30165597450303255</v>
      </c>
      <c r="I83">
        <v>121.4</v>
      </c>
      <c r="J83">
        <f t="shared" si="9"/>
        <v>119.01960784313727</v>
      </c>
      <c r="K83">
        <f t="shared" si="14"/>
        <v>0.9980019893320069</v>
      </c>
      <c r="L83" s="4">
        <f t="shared" si="11"/>
        <v>499.99766150705074</v>
      </c>
      <c r="M83">
        <v>500</v>
      </c>
    </row>
    <row r="84" spans="1:13" x14ac:dyDescent="0.3">
      <c r="A84">
        <v>2014</v>
      </c>
      <c r="D84" t="s">
        <v>154</v>
      </c>
      <c r="E84">
        <v>240</v>
      </c>
      <c r="F84" s="7">
        <f t="shared" si="10"/>
        <v>25.469832531875788</v>
      </c>
      <c r="G84">
        <f t="shared" si="12"/>
        <v>5.115334821006214</v>
      </c>
      <c r="H84">
        <f t="shared" si="13"/>
        <v>-0.30165597450303255</v>
      </c>
      <c r="I84">
        <v>147.6</v>
      </c>
      <c r="J84">
        <f t="shared" si="9"/>
        <v>144.70588235294116</v>
      </c>
      <c r="K84">
        <f t="shared" si="14"/>
        <v>0.99899967657608002</v>
      </c>
      <c r="L84" s="4">
        <f t="shared" si="11"/>
        <v>999.1765972472266</v>
      </c>
      <c r="M84">
        <v>1000</v>
      </c>
    </row>
    <row r="85" spans="1:13" x14ac:dyDescent="0.3">
      <c r="A85">
        <v>2014</v>
      </c>
      <c r="D85" t="s">
        <v>154</v>
      </c>
      <c r="E85">
        <v>240</v>
      </c>
      <c r="F85" s="7">
        <f t="shared" si="10"/>
        <v>25.469832531875788</v>
      </c>
      <c r="G85">
        <f t="shared" si="12"/>
        <v>5.115334821006214</v>
      </c>
      <c r="H85">
        <f t="shared" si="13"/>
        <v>-0.30165597450303255</v>
      </c>
      <c r="I85">
        <v>280</v>
      </c>
      <c r="J85">
        <f t="shared" si="9"/>
        <v>274.50980392156862</v>
      </c>
      <c r="K85">
        <f t="shared" si="14"/>
        <v>0.99989116268817202</v>
      </c>
      <c r="L85" s="4">
        <f t="shared" si="11"/>
        <v>9187.5255237591191</v>
      </c>
      <c r="M85">
        <v>10000</v>
      </c>
    </row>
    <row r="86" spans="1:13" x14ac:dyDescent="0.3">
      <c r="A86">
        <v>2014</v>
      </c>
      <c r="D86" t="s">
        <v>154</v>
      </c>
      <c r="E86">
        <v>480</v>
      </c>
      <c r="F86" s="7">
        <f t="shared" si="10"/>
        <v>30.058363774916081</v>
      </c>
      <c r="G86">
        <f t="shared" si="12"/>
        <v>5.7355766681253213</v>
      </c>
      <c r="H86">
        <f t="shared" si="13"/>
        <v>-0.28422381582414064</v>
      </c>
      <c r="I86">
        <v>22.2</v>
      </c>
      <c r="J86">
        <f t="shared" si="9"/>
        <v>21.764705882352938</v>
      </c>
      <c r="K86">
        <f t="shared" si="14"/>
        <v>0.13443549018006559</v>
      </c>
      <c r="L86" s="8">
        <f t="shared" si="11"/>
        <v>0.49833783851362401</v>
      </c>
      <c r="M86">
        <v>0.5</v>
      </c>
    </row>
    <row r="87" spans="1:13" x14ac:dyDescent="0.3">
      <c r="A87">
        <v>2014</v>
      </c>
      <c r="D87" t="s">
        <v>154</v>
      </c>
      <c r="E87">
        <v>480</v>
      </c>
      <c r="F87" s="7">
        <f t="shared" si="10"/>
        <v>30.058363774916081</v>
      </c>
      <c r="G87">
        <f t="shared" si="12"/>
        <v>5.7355766681253213</v>
      </c>
      <c r="H87">
        <f t="shared" si="13"/>
        <v>-0.28422381582414064</v>
      </c>
      <c r="I87">
        <v>27.7</v>
      </c>
      <c r="J87">
        <f t="shared" si="9"/>
        <v>27.156862745098039</v>
      </c>
      <c r="K87">
        <f t="shared" si="14"/>
        <v>0.36675643333686891</v>
      </c>
      <c r="L87" s="4">
        <f t="shared" si="11"/>
        <v>0.9969519980837479</v>
      </c>
      <c r="M87">
        <v>1</v>
      </c>
    </row>
    <row r="88" spans="1:13" x14ac:dyDescent="0.3">
      <c r="A88">
        <v>2014</v>
      </c>
      <c r="D88" t="s">
        <v>154</v>
      </c>
      <c r="E88">
        <v>480</v>
      </c>
      <c r="F88" s="7">
        <f t="shared" si="10"/>
        <v>30.058363774916081</v>
      </c>
      <c r="G88">
        <f t="shared" si="12"/>
        <v>5.7355766681253213</v>
      </c>
      <c r="H88">
        <f t="shared" si="13"/>
        <v>-0.28422381582414064</v>
      </c>
      <c r="I88">
        <v>33.4</v>
      </c>
      <c r="J88">
        <f t="shared" si="9"/>
        <v>32.745098039215684</v>
      </c>
      <c r="K88">
        <f t="shared" si="14"/>
        <v>0.60820364448699282</v>
      </c>
      <c r="L88" s="4">
        <f t="shared" si="11"/>
        <v>2.011078987865468</v>
      </c>
      <c r="M88">
        <v>2</v>
      </c>
    </row>
    <row r="89" spans="1:13" x14ac:dyDescent="0.3">
      <c r="A89">
        <v>2014</v>
      </c>
      <c r="D89" t="s">
        <v>154</v>
      </c>
      <c r="E89">
        <v>480</v>
      </c>
      <c r="F89" s="7">
        <f t="shared" si="10"/>
        <v>30.058363774916081</v>
      </c>
      <c r="G89">
        <f t="shared" si="12"/>
        <v>5.7355766681253213</v>
      </c>
      <c r="H89">
        <f t="shared" si="13"/>
        <v>-0.28422381582414064</v>
      </c>
      <c r="I89">
        <v>41.7</v>
      </c>
      <c r="J89">
        <f t="shared" si="9"/>
        <v>40.882352941176471</v>
      </c>
      <c r="K89">
        <f t="shared" si="14"/>
        <v>0.81919129089920673</v>
      </c>
      <c r="L89" s="4">
        <f t="shared" si="11"/>
        <v>5.0140982408080603</v>
      </c>
      <c r="M89">
        <v>5</v>
      </c>
    </row>
    <row r="90" spans="1:13" x14ac:dyDescent="0.3">
      <c r="A90">
        <v>2014</v>
      </c>
      <c r="D90" t="s">
        <v>154</v>
      </c>
      <c r="E90">
        <v>480</v>
      </c>
      <c r="F90" s="7">
        <f t="shared" si="10"/>
        <v>30.058363774916081</v>
      </c>
      <c r="G90">
        <f t="shared" si="12"/>
        <v>5.7355766681253213</v>
      </c>
      <c r="H90">
        <f t="shared" si="13"/>
        <v>-0.28422381582414064</v>
      </c>
      <c r="I90">
        <v>49.1</v>
      </c>
      <c r="J90">
        <f t="shared" si="9"/>
        <v>48.137254901960787</v>
      </c>
      <c r="K90">
        <f t="shared" si="14"/>
        <v>0.90470676180347331</v>
      </c>
      <c r="L90" s="4">
        <f t="shared" si="11"/>
        <v>9.9855800340964542</v>
      </c>
      <c r="M90">
        <v>10</v>
      </c>
    </row>
    <row r="91" spans="1:13" x14ac:dyDescent="0.3">
      <c r="A91">
        <v>2014</v>
      </c>
      <c r="D91" t="s">
        <v>154</v>
      </c>
      <c r="E91">
        <v>480</v>
      </c>
      <c r="F91" s="7">
        <f t="shared" si="10"/>
        <v>30.058363774916081</v>
      </c>
      <c r="G91">
        <f t="shared" si="12"/>
        <v>5.7355766681253213</v>
      </c>
      <c r="H91">
        <f t="shared" si="13"/>
        <v>-0.28422381582414064</v>
      </c>
      <c r="I91">
        <v>58</v>
      </c>
      <c r="J91">
        <f t="shared" si="9"/>
        <v>56.862745098039213</v>
      </c>
      <c r="K91">
        <f t="shared" si="14"/>
        <v>0.95136080209454166</v>
      </c>
      <c r="L91" s="4">
        <f t="shared" si="11"/>
        <v>20.055394576300358</v>
      </c>
      <c r="M91">
        <v>20</v>
      </c>
    </row>
    <row r="92" spans="1:13" x14ac:dyDescent="0.3">
      <c r="A92">
        <v>2014</v>
      </c>
      <c r="D92" t="s">
        <v>154</v>
      </c>
      <c r="E92">
        <v>480</v>
      </c>
      <c r="F92" s="7">
        <f t="shared" si="10"/>
        <v>30.058363774916081</v>
      </c>
      <c r="G92">
        <f t="shared" si="12"/>
        <v>5.7355766681253213</v>
      </c>
      <c r="H92">
        <f t="shared" si="13"/>
        <v>-0.28422381582414064</v>
      </c>
      <c r="I92">
        <v>61.2</v>
      </c>
      <c r="J92">
        <f t="shared" si="9"/>
        <v>60</v>
      </c>
      <c r="K92">
        <f t="shared" si="14"/>
        <v>0.96086746910605991</v>
      </c>
      <c r="L92" s="4">
        <f t="shared" si="11"/>
        <v>25.050860209642444</v>
      </c>
      <c r="M92">
        <v>25</v>
      </c>
    </row>
    <row r="93" spans="1:13" x14ac:dyDescent="0.3">
      <c r="A93">
        <v>2014</v>
      </c>
      <c r="D93" t="s">
        <v>154</v>
      </c>
      <c r="E93">
        <v>480</v>
      </c>
      <c r="F93" s="7">
        <f t="shared" si="10"/>
        <v>30.058363774916081</v>
      </c>
      <c r="G93">
        <f t="shared" si="12"/>
        <v>5.7355766681253213</v>
      </c>
      <c r="H93">
        <f t="shared" si="13"/>
        <v>-0.28422381582414064</v>
      </c>
      <c r="I93">
        <v>72.5</v>
      </c>
      <c r="J93">
        <f t="shared" si="9"/>
        <v>71.078431372549019</v>
      </c>
      <c r="K93">
        <f t="shared" si="14"/>
        <v>0.98022734453436944</v>
      </c>
      <c r="L93" s="4">
        <f t="shared" si="11"/>
        <v>50.073232094544501</v>
      </c>
      <c r="M93">
        <v>50</v>
      </c>
    </row>
    <row r="94" spans="1:13" x14ac:dyDescent="0.3">
      <c r="A94">
        <v>2014</v>
      </c>
      <c r="D94" t="s">
        <v>154</v>
      </c>
      <c r="E94">
        <v>480</v>
      </c>
      <c r="F94" s="7">
        <f t="shared" si="10"/>
        <v>30.058363774916081</v>
      </c>
      <c r="G94">
        <f t="shared" si="12"/>
        <v>5.7355766681253213</v>
      </c>
      <c r="H94">
        <f t="shared" si="13"/>
        <v>-0.28422381582414064</v>
      </c>
      <c r="I94">
        <v>86.2</v>
      </c>
      <c r="J94">
        <f t="shared" si="9"/>
        <v>84.509803921568633</v>
      </c>
      <c r="K94">
        <f t="shared" si="14"/>
        <v>0.99006371367969115</v>
      </c>
      <c r="L94" s="4">
        <f t="shared" si="11"/>
        <v>100.1403900962062</v>
      </c>
      <c r="M94">
        <v>100</v>
      </c>
    </row>
    <row r="95" spans="1:13" x14ac:dyDescent="0.3">
      <c r="A95">
        <v>2014</v>
      </c>
      <c r="D95" t="s">
        <v>154</v>
      </c>
      <c r="E95">
        <v>480</v>
      </c>
      <c r="F95" s="7">
        <f t="shared" si="10"/>
        <v>30.058363774916081</v>
      </c>
      <c r="G95">
        <f t="shared" si="12"/>
        <v>5.7355766681253213</v>
      </c>
      <c r="H95">
        <f t="shared" si="13"/>
        <v>-0.28422381582414064</v>
      </c>
      <c r="I95">
        <v>102.8</v>
      </c>
      <c r="J95">
        <f t="shared" si="9"/>
        <v>100.78431372549019</v>
      </c>
      <c r="K95">
        <f t="shared" si="14"/>
        <v>0.99501150911282321</v>
      </c>
      <c r="L95" s="4">
        <f t="shared" si="11"/>
        <v>199.961009887431</v>
      </c>
      <c r="M95">
        <v>200</v>
      </c>
    </row>
    <row r="96" spans="1:13" x14ac:dyDescent="0.3">
      <c r="A96">
        <v>2014</v>
      </c>
      <c r="D96" t="s">
        <v>154</v>
      </c>
      <c r="E96">
        <v>480</v>
      </c>
      <c r="F96" s="7">
        <f t="shared" si="10"/>
        <v>30.058363774916081</v>
      </c>
      <c r="G96">
        <f t="shared" si="12"/>
        <v>5.7355766681253213</v>
      </c>
      <c r="H96">
        <f t="shared" si="13"/>
        <v>-0.28422381582414064</v>
      </c>
      <c r="I96">
        <v>108.9</v>
      </c>
      <c r="J96">
        <f t="shared" si="9"/>
        <v>106.76470588235294</v>
      </c>
      <c r="K96">
        <f t="shared" si="14"/>
        <v>0.99600928684551548</v>
      </c>
      <c r="L96" s="4">
        <f t="shared" si="11"/>
        <v>250.0814453419498</v>
      </c>
      <c r="M96">
        <v>250</v>
      </c>
    </row>
    <row r="97" spans="1:17" x14ac:dyDescent="0.3">
      <c r="A97">
        <v>2014</v>
      </c>
      <c r="D97" t="s">
        <v>154</v>
      </c>
      <c r="E97">
        <v>480</v>
      </c>
      <c r="F97" s="7">
        <f t="shared" si="10"/>
        <v>30.058363774916081</v>
      </c>
      <c r="G97">
        <f t="shared" si="12"/>
        <v>5.7355766681253213</v>
      </c>
      <c r="H97">
        <f t="shared" si="13"/>
        <v>-0.28422381582414064</v>
      </c>
      <c r="I97">
        <v>130.4</v>
      </c>
      <c r="J97">
        <f t="shared" si="9"/>
        <v>127.84313725490196</v>
      </c>
      <c r="K97">
        <f t="shared" si="14"/>
        <v>0.99799952301132877</v>
      </c>
      <c r="L97" s="4">
        <f t="shared" si="11"/>
        <v>499.38061439181223</v>
      </c>
      <c r="M97">
        <v>500</v>
      </c>
    </row>
    <row r="98" spans="1:17" x14ac:dyDescent="0.3">
      <c r="A98">
        <v>2014</v>
      </c>
      <c r="D98" t="s">
        <v>154</v>
      </c>
      <c r="E98">
        <v>480</v>
      </c>
      <c r="F98" s="7">
        <f t="shared" si="10"/>
        <v>30.058363774916081</v>
      </c>
      <c r="G98">
        <f t="shared" si="12"/>
        <v>5.7355766681253213</v>
      </c>
      <c r="H98">
        <f t="shared" si="13"/>
        <v>-0.28422381582414064</v>
      </c>
      <c r="I98">
        <v>156.69999999999999</v>
      </c>
      <c r="J98">
        <f t="shared" si="9"/>
        <v>153.62745098039215</v>
      </c>
      <c r="K98">
        <f t="shared" si="14"/>
        <v>0.99900113148656666</v>
      </c>
      <c r="L98" s="4">
        <f t="shared" si="11"/>
        <v>1000.6326849981116</v>
      </c>
      <c r="M98">
        <v>1000</v>
      </c>
    </row>
    <row r="99" spans="1:17" x14ac:dyDescent="0.3">
      <c r="A99">
        <v>2014</v>
      </c>
      <c r="D99" t="s">
        <v>154</v>
      </c>
      <c r="E99">
        <v>480</v>
      </c>
      <c r="F99" s="7">
        <f t="shared" si="10"/>
        <v>30.058363774916081</v>
      </c>
      <c r="G99">
        <f t="shared" si="12"/>
        <v>5.7355766681253213</v>
      </c>
      <c r="H99">
        <f t="shared" si="13"/>
        <v>-0.28422381582414064</v>
      </c>
      <c r="I99">
        <v>290</v>
      </c>
      <c r="J99">
        <f t="shared" si="9"/>
        <v>284.31372549019608</v>
      </c>
      <c r="K99">
        <f t="shared" si="14"/>
        <v>0.9998972410193091</v>
      </c>
      <c r="L99" s="4">
        <f t="shared" si="11"/>
        <v>9731.0095225402601</v>
      </c>
      <c r="M99">
        <v>10000</v>
      </c>
      <c r="Q99">
        <f>480/60</f>
        <v>8</v>
      </c>
    </row>
    <row r="100" spans="1:17" x14ac:dyDescent="0.3">
      <c r="A100">
        <v>2014</v>
      </c>
      <c r="D100" t="s">
        <v>154</v>
      </c>
      <c r="E100">
        <f>12*60</f>
        <v>720</v>
      </c>
      <c r="F100" s="7">
        <f t="shared" si="10"/>
        <v>32.981426499214855</v>
      </c>
      <c r="G100">
        <f t="shared" si="12"/>
        <v>6.099942135325044</v>
      </c>
      <c r="H100">
        <f t="shared" si="13"/>
        <v>-0.26868318296554239</v>
      </c>
      <c r="I100">
        <v>24.6</v>
      </c>
      <c r="J100">
        <f t="shared" si="9"/>
        <v>24.117647058823529</v>
      </c>
      <c r="K100">
        <f t="shared" si="14"/>
        <v>0.13678280141024385</v>
      </c>
      <c r="L100" s="8">
        <f t="shared" si="11"/>
        <v>0.50267397360376309</v>
      </c>
      <c r="M100">
        <v>0.5</v>
      </c>
    </row>
    <row r="101" spans="1:17" x14ac:dyDescent="0.3">
      <c r="A101">
        <v>2014</v>
      </c>
      <c r="D101" t="s">
        <v>154</v>
      </c>
      <c r="E101">
        <f t="shared" ref="E101:E113" si="15">12*60</f>
        <v>720</v>
      </c>
      <c r="F101" s="7">
        <f t="shared" si="10"/>
        <v>32.981426499214855</v>
      </c>
      <c r="G101">
        <f t="shared" si="12"/>
        <v>6.099942135325044</v>
      </c>
      <c r="H101">
        <f t="shared" si="13"/>
        <v>-0.26868318296554239</v>
      </c>
      <c r="I101">
        <v>30.5</v>
      </c>
      <c r="J101">
        <f t="shared" si="9"/>
        <v>29.901960784313726</v>
      </c>
      <c r="K101">
        <f t="shared" si="14"/>
        <v>0.36760088341912944</v>
      </c>
      <c r="L101" s="4">
        <f t="shared" si="11"/>
        <v>0.99924308805381945</v>
      </c>
      <c r="M101">
        <v>1</v>
      </c>
    </row>
    <row r="102" spans="1:17" x14ac:dyDescent="0.3">
      <c r="A102">
        <v>2014</v>
      </c>
      <c r="D102" t="s">
        <v>154</v>
      </c>
      <c r="E102">
        <f t="shared" si="15"/>
        <v>720</v>
      </c>
      <c r="F102" s="7">
        <f t="shared" si="10"/>
        <v>32.981426499214855</v>
      </c>
      <c r="G102">
        <f t="shared" si="12"/>
        <v>6.099942135325044</v>
      </c>
      <c r="H102">
        <f t="shared" si="13"/>
        <v>-0.26868318296554239</v>
      </c>
      <c r="I102">
        <v>36.5</v>
      </c>
      <c r="J102">
        <f t="shared" si="9"/>
        <v>35.784313725490193</v>
      </c>
      <c r="K102">
        <f t="shared" si="14"/>
        <v>0.60665367374501777</v>
      </c>
      <c r="L102" s="4">
        <f t="shared" si="11"/>
        <v>2.0008115102906543</v>
      </c>
      <c r="M102">
        <v>2</v>
      </c>
    </row>
    <row r="103" spans="1:17" x14ac:dyDescent="0.3">
      <c r="A103">
        <v>2014</v>
      </c>
      <c r="D103" t="s">
        <v>154</v>
      </c>
      <c r="E103">
        <f t="shared" si="15"/>
        <v>720</v>
      </c>
      <c r="F103" s="7">
        <f t="shared" si="10"/>
        <v>32.981426499214855</v>
      </c>
      <c r="G103">
        <f t="shared" si="12"/>
        <v>6.099942135325044</v>
      </c>
      <c r="H103">
        <f t="shared" si="13"/>
        <v>-0.26868318296554239</v>
      </c>
      <c r="I103">
        <v>45.2</v>
      </c>
      <c r="J103">
        <f t="shared" si="9"/>
        <v>44.313725490196077</v>
      </c>
      <c r="K103">
        <f t="shared" si="14"/>
        <v>0.81861288841592117</v>
      </c>
      <c r="L103" s="4">
        <f t="shared" si="11"/>
        <v>4.9964033244125181</v>
      </c>
      <c r="M103">
        <v>5</v>
      </c>
    </row>
    <row r="104" spans="1:17" x14ac:dyDescent="0.3">
      <c r="A104">
        <v>2014</v>
      </c>
      <c r="D104" t="s">
        <v>154</v>
      </c>
      <c r="E104">
        <f t="shared" si="15"/>
        <v>720</v>
      </c>
      <c r="F104" s="7">
        <f t="shared" si="10"/>
        <v>32.981426499214855</v>
      </c>
      <c r="G104">
        <f t="shared" si="12"/>
        <v>6.099942135325044</v>
      </c>
      <c r="H104">
        <f t="shared" si="13"/>
        <v>-0.26868318296554239</v>
      </c>
      <c r="I104">
        <v>52.9</v>
      </c>
      <c r="J104">
        <f t="shared" si="9"/>
        <v>51.862745098039213</v>
      </c>
      <c r="K104">
        <f t="shared" si="14"/>
        <v>0.90487080731657221</v>
      </c>
      <c r="L104" s="4">
        <f t="shared" si="11"/>
        <v>10.003691380234843</v>
      </c>
      <c r="M104">
        <v>10</v>
      </c>
    </row>
    <row r="105" spans="1:17" x14ac:dyDescent="0.3">
      <c r="A105">
        <v>2014</v>
      </c>
      <c r="D105" t="s">
        <v>154</v>
      </c>
      <c r="E105">
        <f t="shared" si="15"/>
        <v>720</v>
      </c>
      <c r="F105" s="7">
        <f t="shared" si="10"/>
        <v>32.981426499214855</v>
      </c>
      <c r="G105">
        <f t="shared" si="12"/>
        <v>6.099942135325044</v>
      </c>
      <c r="H105">
        <f t="shared" si="13"/>
        <v>-0.26868318296554239</v>
      </c>
      <c r="I105">
        <v>61.9</v>
      </c>
      <c r="J105">
        <f t="shared" si="9"/>
        <v>60.686274509803916</v>
      </c>
      <c r="K105">
        <f t="shared" si="14"/>
        <v>0.95114120021578796</v>
      </c>
      <c r="L105" s="4">
        <f t="shared" si="11"/>
        <v>19.962967919120572</v>
      </c>
      <c r="M105">
        <v>20</v>
      </c>
    </row>
    <row r="106" spans="1:17" x14ac:dyDescent="0.3">
      <c r="A106">
        <v>2014</v>
      </c>
      <c r="D106" t="s">
        <v>154</v>
      </c>
      <c r="E106">
        <f t="shared" si="15"/>
        <v>720</v>
      </c>
      <c r="F106" s="7">
        <f t="shared" si="10"/>
        <v>32.981426499214855</v>
      </c>
      <c r="G106">
        <f t="shared" si="12"/>
        <v>6.099942135325044</v>
      </c>
      <c r="H106">
        <f t="shared" si="13"/>
        <v>-0.26868318296554239</v>
      </c>
      <c r="I106">
        <v>65.2</v>
      </c>
      <c r="J106">
        <f t="shared" si="9"/>
        <v>63.921568627450981</v>
      </c>
      <c r="K106">
        <f t="shared" si="14"/>
        <v>0.96084376422168327</v>
      </c>
      <c r="L106" s="4">
        <f t="shared" si="11"/>
        <v>25.035387845587337</v>
      </c>
      <c r="M106">
        <v>25</v>
      </c>
    </row>
    <row r="107" spans="1:17" x14ac:dyDescent="0.3">
      <c r="A107">
        <v>2014</v>
      </c>
      <c r="D107" t="s">
        <v>154</v>
      </c>
      <c r="E107">
        <f t="shared" si="15"/>
        <v>720</v>
      </c>
      <c r="F107" s="7">
        <f t="shared" si="10"/>
        <v>32.981426499214855</v>
      </c>
      <c r="G107">
        <f t="shared" si="12"/>
        <v>6.099942135325044</v>
      </c>
      <c r="H107">
        <f t="shared" si="13"/>
        <v>-0.26868318296554239</v>
      </c>
      <c r="I107">
        <v>76.599999999999994</v>
      </c>
      <c r="J107">
        <f t="shared" si="9"/>
        <v>75.098039215686271</v>
      </c>
      <c r="K107">
        <f t="shared" si="14"/>
        <v>0.98024951568380925</v>
      </c>
      <c r="L107" s="4">
        <f t="shared" si="11"/>
        <v>50.130007452147098</v>
      </c>
      <c r="M107">
        <v>50</v>
      </c>
    </row>
    <row r="108" spans="1:17" x14ac:dyDescent="0.3">
      <c r="A108">
        <v>2014</v>
      </c>
      <c r="D108" t="s">
        <v>154</v>
      </c>
      <c r="E108">
        <f t="shared" si="15"/>
        <v>720</v>
      </c>
      <c r="F108" s="7">
        <f t="shared" si="10"/>
        <v>32.981426499214855</v>
      </c>
      <c r="G108">
        <f t="shared" si="12"/>
        <v>6.099942135325044</v>
      </c>
      <c r="H108">
        <f t="shared" si="13"/>
        <v>-0.26868318296554239</v>
      </c>
      <c r="I108">
        <v>90.2</v>
      </c>
      <c r="J108">
        <f t="shared" si="9"/>
        <v>88.431372549019613</v>
      </c>
      <c r="K108">
        <f t="shared" si="14"/>
        <v>0.99005643830567913</v>
      </c>
      <c r="L108" s="4">
        <f t="shared" si="11"/>
        <v>100.06675364233128</v>
      </c>
      <c r="M108">
        <v>100</v>
      </c>
    </row>
    <row r="109" spans="1:17" x14ac:dyDescent="0.3">
      <c r="A109">
        <v>2014</v>
      </c>
      <c r="D109" t="s">
        <v>154</v>
      </c>
      <c r="E109">
        <f t="shared" si="15"/>
        <v>720</v>
      </c>
      <c r="F109" s="7">
        <f t="shared" si="10"/>
        <v>32.981426499214855</v>
      </c>
      <c r="G109">
        <f t="shared" si="12"/>
        <v>6.099942135325044</v>
      </c>
      <c r="H109">
        <f t="shared" si="13"/>
        <v>-0.26868318296554239</v>
      </c>
      <c r="I109">
        <v>106.6</v>
      </c>
      <c r="J109">
        <f t="shared" si="9"/>
        <v>104.50980392156862</v>
      </c>
      <c r="K109">
        <f t="shared" si="14"/>
        <v>0.99501904836133537</v>
      </c>
      <c r="L109" s="4">
        <f t="shared" si="11"/>
        <v>200.26443215835442</v>
      </c>
      <c r="M109">
        <v>200</v>
      </c>
    </row>
    <row r="110" spans="1:17" x14ac:dyDescent="0.3">
      <c r="A110">
        <v>2014</v>
      </c>
      <c r="D110" t="s">
        <v>154</v>
      </c>
      <c r="E110">
        <f t="shared" si="15"/>
        <v>720</v>
      </c>
      <c r="F110" s="7">
        <f t="shared" si="10"/>
        <v>32.981426499214855</v>
      </c>
      <c r="G110">
        <f t="shared" si="12"/>
        <v>6.099942135325044</v>
      </c>
      <c r="H110">
        <f t="shared" si="13"/>
        <v>-0.26868318296554239</v>
      </c>
      <c r="I110">
        <v>112.5</v>
      </c>
      <c r="J110">
        <f t="shared" si="9"/>
        <v>110.29411764705883</v>
      </c>
      <c r="K110">
        <f t="shared" si="14"/>
        <v>0.99600562586838948</v>
      </c>
      <c r="L110" s="4">
        <f t="shared" si="11"/>
        <v>249.85177847730634</v>
      </c>
      <c r="M110">
        <v>250</v>
      </c>
    </row>
    <row r="111" spans="1:17" x14ac:dyDescent="0.3">
      <c r="A111">
        <v>2014</v>
      </c>
      <c r="D111" t="s">
        <v>154</v>
      </c>
      <c r="E111">
        <f t="shared" si="15"/>
        <v>720</v>
      </c>
      <c r="F111" s="7">
        <f t="shared" si="10"/>
        <v>32.981426499214855</v>
      </c>
      <c r="G111">
        <f>IF(E111&lt;=104,F111*(0.04704+0.1978*LOG(E111)-0.05729*LOG(E111)^2),F111*(0.2801-0.0333*LOG(E111)))</f>
        <v>6.099942135325044</v>
      </c>
      <c r="H111">
        <f>-0.0336 -0.264 *LOG(E111) + 0.0636 *LOG(E111)^2</f>
        <v>-0.26868318296554239</v>
      </c>
      <c r="I111">
        <v>133.4</v>
      </c>
      <c r="J111">
        <f t="shared" si="9"/>
        <v>130.78431372549019</v>
      </c>
      <c r="K111">
        <f t="shared" si="14"/>
        <v>0.99799981464661747</v>
      </c>
      <c r="L111" s="4">
        <f t="shared" si="11"/>
        <v>499.4534990994315</v>
      </c>
      <c r="M111">
        <v>500</v>
      </c>
    </row>
    <row r="112" spans="1:17" x14ac:dyDescent="0.3">
      <c r="A112">
        <v>2014</v>
      </c>
      <c r="D112" t="s">
        <v>154</v>
      </c>
      <c r="E112">
        <f t="shared" si="15"/>
        <v>720</v>
      </c>
      <c r="F112" s="7">
        <f t="shared" si="10"/>
        <v>32.981426499214855</v>
      </c>
      <c r="G112">
        <f>IF(E112&lt;=104,F112*(0.04704+0.1978*LOG(E112)-0.05729*LOG(E112)^2),F112*(0.2801-0.0333*LOG(E112)))</f>
        <v>6.099942135325044</v>
      </c>
      <c r="H112">
        <f>-0.0336 -0.264 *LOG(E112) + 0.0636 *LOG(E112)^2</f>
        <v>-0.26868318296554239</v>
      </c>
      <c r="I112">
        <v>158.6</v>
      </c>
      <c r="J112">
        <f t="shared" si="9"/>
        <v>155.49019607843135</v>
      </c>
      <c r="K112">
        <f t="shared" si="14"/>
        <v>0.99899986381478645</v>
      </c>
      <c r="L112" s="4">
        <f t="shared" si="11"/>
        <v>999.36374994394896</v>
      </c>
      <c r="M112">
        <v>1000</v>
      </c>
    </row>
    <row r="113" spans="1:13" x14ac:dyDescent="0.3">
      <c r="A113">
        <v>2014</v>
      </c>
      <c r="D113" t="s">
        <v>154</v>
      </c>
      <c r="E113">
        <f t="shared" si="15"/>
        <v>720</v>
      </c>
      <c r="F113" s="7">
        <f t="shared" si="10"/>
        <v>32.981426499214855</v>
      </c>
      <c r="G113">
        <f>IF(E113&lt;=104,F113*(0.04704+0.1978*LOG(E113)-0.05729*LOG(E113)^2),F113*(0.2801-0.0333*LOG(E113)))</f>
        <v>6.099942135325044</v>
      </c>
      <c r="H113">
        <f>-0.0336 -0.264 *LOG(E113) + 0.0636 *LOG(E113)^2</f>
        <v>-0.26868318296554239</v>
      </c>
      <c r="I113">
        <v>290</v>
      </c>
      <c r="J113">
        <f t="shared" si="9"/>
        <v>284.31372549019608</v>
      </c>
      <c r="K113">
        <f t="shared" si="14"/>
        <v>0.99990582228979852</v>
      </c>
      <c r="L113" s="25">
        <f t="shared" si="11"/>
        <v>10617.723750837287</v>
      </c>
      <c r="M113">
        <v>10000</v>
      </c>
    </row>
    <row r="114" spans="1:13" x14ac:dyDescent="0.3">
      <c r="A114" s="17">
        <v>2014</v>
      </c>
      <c r="B114" s="18"/>
      <c r="C114" s="18"/>
      <c r="D114" s="18" t="s">
        <v>318</v>
      </c>
      <c r="E114" s="18">
        <v>10</v>
      </c>
      <c r="F114" s="19">
        <f>4.883-5.587*LOG10(E114) + 3.526 *LOG10(E114)^2</f>
        <v>2.8220000000000001</v>
      </c>
      <c r="G114" s="18">
        <f t="shared" ref="G114:G177" si="16">IF(E114&lt;=91,F114*(0.41692-0.07583*LOG10(E114)),F114*0.2684)</f>
        <v>0.96255598000000009</v>
      </c>
      <c r="H114" s="18">
        <f>-0.294 +0.1474 *LOG10(E114) - 0.0192 *LOG10(E114)^2</f>
        <v>-0.16579999999999998</v>
      </c>
      <c r="I114" s="18">
        <v>2.2000000000000002</v>
      </c>
      <c r="J114" s="18">
        <f>I114/1.02</f>
        <v>2.1568627450980395</v>
      </c>
      <c r="K114" s="18">
        <f t="shared" si="14"/>
        <v>0.32433825992224652</v>
      </c>
      <c r="L114" s="9">
        <f>-1/LN(K114)</f>
        <v>0.88812447369220449</v>
      </c>
      <c r="M114" s="20">
        <v>0.5</v>
      </c>
    </row>
    <row r="115" spans="1:13" x14ac:dyDescent="0.3">
      <c r="A115" s="21">
        <v>2014</v>
      </c>
      <c r="B115" s="12"/>
      <c r="C115" s="12"/>
      <c r="D115" s="12" t="s">
        <v>318</v>
      </c>
      <c r="E115" s="12">
        <v>10</v>
      </c>
      <c r="F115" s="13">
        <f t="shared" ref="F115:F126" si="17">4.883-5.587*LOG10(E115) + 3.526 *LOG10(E115)^2</f>
        <v>2.8220000000000001</v>
      </c>
      <c r="G115" s="12">
        <f t="shared" si="16"/>
        <v>0.96255598000000009</v>
      </c>
      <c r="H115" s="12">
        <f t="shared" ref="H115:H126" si="18">-0.294 +0.1474 *LOG10(E115) - 0.0192 *LOG10(E115)^2</f>
        <v>-0.16579999999999998</v>
      </c>
      <c r="I115" s="12">
        <v>2.9</v>
      </c>
      <c r="J115" s="12">
        <f t="shared" ref="J115:J126" si="19">I115/1.02</f>
        <v>2.8431372549019605</v>
      </c>
      <c r="K115" s="12">
        <f t="shared" si="14"/>
        <v>0.50547968756454187</v>
      </c>
      <c r="L115" s="10">
        <f>-1/LN(K115)</f>
        <v>1.4657438995677554</v>
      </c>
      <c r="M115" s="22">
        <v>1</v>
      </c>
    </row>
    <row r="116" spans="1:13" x14ac:dyDescent="0.3">
      <c r="A116" s="21">
        <v>2014</v>
      </c>
      <c r="B116" s="12"/>
      <c r="C116" s="12"/>
      <c r="D116" s="12" t="s">
        <v>318</v>
      </c>
      <c r="E116" s="12">
        <v>10</v>
      </c>
      <c r="F116" s="13">
        <f t="shared" si="17"/>
        <v>2.8220000000000001</v>
      </c>
      <c r="G116" s="12">
        <f t="shared" si="16"/>
        <v>0.96255598000000009</v>
      </c>
      <c r="H116" s="12">
        <f t="shared" si="18"/>
        <v>-0.16579999999999998</v>
      </c>
      <c r="I116" s="12">
        <v>3.6</v>
      </c>
      <c r="J116" s="12">
        <f t="shared" si="19"/>
        <v>3.5294117647058822</v>
      </c>
      <c r="K116" s="12">
        <f t="shared" si="14"/>
        <v>0.66674255685019157</v>
      </c>
      <c r="L116" s="10">
        <f>-1/LN(K116)</f>
        <v>2.4669960378519837</v>
      </c>
      <c r="M116" s="22">
        <v>2</v>
      </c>
    </row>
    <row r="117" spans="1:13" x14ac:dyDescent="0.3">
      <c r="A117" s="21">
        <v>2014</v>
      </c>
      <c r="B117" s="12"/>
      <c r="C117" s="12"/>
      <c r="D117" s="12" t="s">
        <v>318</v>
      </c>
      <c r="E117" s="12">
        <v>10</v>
      </c>
      <c r="F117" s="13">
        <f t="shared" si="17"/>
        <v>2.8220000000000001</v>
      </c>
      <c r="G117" s="12">
        <f t="shared" si="16"/>
        <v>0.96255598000000009</v>
      </c>
      <c r="H117" s="12">
        <f t="shared" si="18"/>
        <v>-0.16579999999999998</v>
      </c>
      <c r="I117" s="12">
        <v>4.7</v>
      </c>
      <c r="J117" s="12">
        <f t="shared" si="19"/>
        <v>4.6078431372549025</v>
      </c>
      <c r="K117" s="12">
        <f t="shared" si="14"/>
        <v>0.83446697033940787</v>
      </c>
      <c r="L117" s="10">
        <f>-1/LN(K117)</f>
        <v>5.5260184697217136</v>
      </c>
      <c r="M117" s="22">
        <v>5</v>
      </c>
    </row>
    <row r="118" spans="1:13" x14ac:dyDescent="0.3">
      <c r="A118" s="21">
        <v>2014</v>
      </c>
      <c r="B118" s="12"/>
      <c r="C118" s="12"/>
      <c r="D118" s="12" t="s">
        <v>318</v>
      </c>
      <c r="E118" s="12">
        <v>10</v>
      </c>
      <c r="F118" s="13">
        <f t="shared" si="17"/>
        <v>2.8220000000000001</v>
      </c>
      <c r="G118" s="12">
        <f t="shared" si="16"/>
        <v>0.96255598000000009</v>
      </c>
      <c r="H118" s="12">
        <f t="shared" si="18"/>
        <v>-0.16579999999999998</v>
      </c>
      <c r="I118" s="12">
        <v>5.6</v>
      </c>
      <c r="J118" s="12">
        <f t="shared" si="19"/>
        <v>5.4901960784313717</v>
      </c>
      <c r="K118" s="12">
        <f t="shared" si="14"/>
        <v>0.90727592738792096</v>
      </c>
      <c r="L118" s="10">
        <f t="shared" ref="L118:L126" si="20">-1/LN(K118)</f>
        <v>10.276578141127885</v>
      </c>
      <c r="M118" s="22">
        <v>10</v>
      </c>
    </row>
    <row r="119" spans="1:13" x14ac:dyDescent="0.3">
      <c r="A119" s="21">
        <v>2014</v>
      </c>
      <c r="B119" s="12"/>
      <c r="C119" s="12"/>
      <c r="D119" s="12" t="s">
        <v>318</v>
      </c>
      <c r="E119" s="12">
        <v>10</v>
      </c>
      <c r="F119" s="13">
        <f t="shared" si="17"/>
        <v>2.8220000000000001</v>
      </c>
      <c r="G119" s="12">
        <f t="shared" si="16"/>
        <v>0.96255598000000009</v>
      </c>
      <c r="H119" s="12">
        <f t="shared" si="18"/>
        <v>-0.16579999999999998</v>
      </c>
      <c r="I119" s="12">
        <v>6.7</v>
      </c>
      <c r="J119" s="12">
        <f t="shared" si="19"/>
        <v>6.5686274509803919</v>
      </c>
      <c r="K119" s="12">
        <f t="shared" si="14"/>
        <v>0.95272552809208966</v>
      </c>
      <c r="L119" s="10">
        <f t="shared" si="20"/>
        <v>20.649029939869678</v>
      </c>
      <c r="M119" s="22">
        <v>20</v>
      </c>
    </row>
    <row r="120" spans="1:13" x14ac:dyDescent="0.3">
      <c r="A120" s="21">
        <v>2014</v>
      </c>
      <c r="B120" s="12"/>
      <c r="C120" s="12"/>
      <c r="D120" s="12" t="s">
        <v>318</v>
      </c>
      <c r="E120" s="12">
        <v>10</v>
      </c>
      <c r="F120" s="13">
        <f t="shared" si="17"/>
        <v>2.8220000000000001</v>
      </c>
      <c r="G120" s="12">
        <f t="shared" si="16"/>
        <v>0.96255598000000009</v>
      </c>
      <c r="H120" s="12">
        <f t="shared" si="18"/>
        <v>-0.16579999999999998</v>
      </c>
      <c r="I120" s="12">
        <v>7.1</v>
      </c>
      <c r="J120" s="12">
        <f t="shared" si="19"/>
        <v>6.9607843137254894</v>
      </c>
      <c r="K120" s="12">
        <f t="shared" si="14"/>
        <v>0.96252990315209219</v>
      </c>
      <c r="L120" s="10">
        <f t="shared" si="20"/>
        <v>26.18476566582925</v>
      </c>
      <c r="M120" s="22">
        <v>25</v>
      </c>
    </row>
    <row r="121" spans="1:13" x14ac:dyDescent="0.3">
      <c r="A121" s="21">
        <v>2014</v>
      </c>
      <c r="B121" s="12"/>
      <c r="C121" s="12"/>
      <c r="D121" s="12" t="s">
        <v>318</v>
      </c>
      <c r="E121" s="12">
        <v>10</v>
      </c>
      <c r="F121" s="13">
        <f t="shared" si="17"/>
        <v>2.8220000000000001</v>
      </c>
      <c r="G121" s="12">
        <f t="shared" si="16"/>
        <v>0.96255598000000009</v>
      </c>
      <c r="H121" s="12">
        <f t="shared" si="18"/>
        <v>-0.16579999999999998</v>
      </c>
      <c r="I121" s="12">
        <v>8.3000000000000007</v>
      </c>
      <c r="J121" s="12">
        <f t="shared" si="19"/>
        <v>8.1372549019607856</v>
      </c>
      <c r="K121" s="12">
        <f t="shared" si="14"/>
        <v>0.98055289922523514</v>
      </c>
      <c r="L121" s="10">
        <f t="shared" si="20"/>
        <v>50.919910119149009</v>
      </c>
      <c r="M121" s="22">
        <v>50</v>
      </c>
    </row>
    <row r="122" spans="1:13" x14ac:dyDescent="0.3">
      <c r="A122" s="21">
        <v>2014</v>
      </c>
      <c r="B122" s="12"/>
      <c r="C122" s="12"/>
      <c r="D122" s="12" t="s">
        <v>318</v>
      </c>
      <c r="E122" s="12">
        <v>10</v>
      </c>
      <c r="F122" s="13">
        <f t="shared" si="17"/>
        <v>2.8220000000000001</v>
      </c>
      <c r="G122" s="12">
        <f t="shared" si="16"/>
        <v>0.96255598000000009</v>
      </c>
      <c r="H122" s="12">
        <f t="shared" si="18"/>
        <v>-0.16579999999999998</v>
      </c>
      <c r="I122" s="12">
        <v>9.6999999999999993</v>
      </c>
      <c r="J122" s="12">
        <f t="shared" si="19"/>
        <v>9.5098039215686274</v>
      </c>
      <c r="K122" s="12">
        <f t="shared" si="14"/>
        <v>0.99026596452577864</v>
      </c>
      <c r="L122" s="10">
        <f t="shared" si="20"/>
        <v>102.23150000594106</v>
      </c>
      <c r="M122" s="22">
        <v>100</v>
      </c>
    </row>
    <row r="123" spans="1:13" x14ac:dyDescent="0.3">
      <c r="A123" s="21">
        <v>2014</v>
      </c>
      <c r="B123" s="12"/>
      <c r="C123" s="12"/>
      <c r="D123" s="12" t="s">
        <v>318</v>
      </c>
      <c r="E123" s="12">
        <v>10</v>
      </c>
      <c r="F123" s="13">
        <f t="shared" si="17"/>
        <v>2.8220000000000001</v>
      </c>
      <c r="G123" s="12">
        <f t="shared" si="16"/>
        <v>0.96255598000000009</v>
      </c>
      <c r="H123" s="12">
        <f t="shared" si="18"/>
        <v>-0.16579999999999998</v>
      </c>
      <c r="I123" s="12">
        <v>11.2</v>
      </c>
      <c r="J123" s="12">
        <f t="shared" si="19"/>
        <v>10.980392156862743</v>
      </c>
      <c r="K123" s="12">
        <f t="shared" si="14"/>
        <v>0.99500110127409924</v>
      </c>
      <c r="L123" s="10">
        <f t="shared" si="20"/>
        <v>199.54364304913443</v>
      </c>
      <c r="M123" s="22">
        <v>200</v>
      </c>
    </row>
    <row r="124" spans="1:13" x14ac:dyDescent="0.3">
      <c r="A124" s="21">
        <v>2014</v>
      </c>
      <c r="B124" s="12"/>
      <c r="C124" s="12"/>
      <c r="D124" s="12" t="s">
        <v>318</v>
      </c>
      <c r="E124" s="12">
        <v>10</v>
      </c>
      <c r="F124" s="13">
        <f t="shared" si="17"/>
        <v>2.8220000000000001</v>
      </c>
      <c r="G124" s="12">
        <f t="shared" si="16"/>
        <v>0.96255598000000009</v>
      </c>
      <c r="H124" s="12">
        <f t="shared" si="18"/>
        <v>-0.16579999999999998</v>
      </c>
      <c r="I124" s="12">
        <v>11.7</v>
      </c>
      <c r="J124" s="12">
        <f t="shared" si="19"/>
        <v>11.470588235294116</v>
      </c>
      <c r="K124" s="12">
        <f t="shared" si="14"/>
        <v>0.99593643407557597</v>
      </c>
      <c r="L124" s="10">
        <f t="shared" si="20"/>
        <v>245.58893758536951</v>
      </c>
      <c r="M124" s="22">
        <v>250</v>
      </c>
    </row>
    <row r="125" spans="1:13" x14ac:dyDescent="0.3">
      <c r="A125" s="21">
        <v>2014</v>
      </c>
      <c r="B125" s="12"/>
      <c r="C125" s="12"/>
      <c r="D125" s="12" t="s">
        <v>318</v>
      </c>
      <c r="E125" s="12">
        <v>10</v>
      </c>
      <c r="F125" s="13">
        <f t="shared" si="17"/>
        <v>2.8220000000000001</v>
      </c>
      <c r="G125" s="12">
        <f t="shared" si="16"/>
        <v>0.96255598000000009</v>
      </c>
      <c r="H125" s="12">
        <f t="shared" si="18"/>
        <v>-0.16579999999999998</v>
      </c>
      <c r="I125" s="12">
        <v>13.6</v>
      </c>
      <c r="J125" s="12">
        <f t="shared" si="19"/>
        <v>13.333333333333332</v>
      </c>
      <c r="K125" s="12">
        <f t="shared" si="14"/>
        <v>0.99803979322834524</v>
      </c>
      <c r="L125" s="10">
        <f t="shared" si="20"/>
        <v>509.65009944115315</v>
      </c>
      <c r="M125" s="22">
        <v>500</v>
      </c>
    </row>
    <row r="126" spans="1:13" x14ac:dyDescent="0.3">
      <c r="A126" s="23">
        <v>2014</v>
      </c>
      <c r="B126" s="14"/>
      <c r="C126" s="14"/>
      <c r="D126" s="14" t="s">
        <v>318</v>
      </c>
      <c r="E126" s="14">
        <v>10</v>
      </c>
      <c r="F126" s="15">
        <f t="shared" si="17"/>
        <v>2.8220000000000001</v>
      </c>
      <c r="G126" s="14">
        <f t="shared" si="16"/>
        <v>0.96255598000000009</v>
      </c>
      <c r="H126" s="14">
        <f t="shared" si="18"/>
        <v>-0.16579999999999998</v>
      </c>
      <c r="I126" s="14">
        <v>15.6</v>
      </c>
      <c r="J126" s="14">
        <f t="shared" si="19"/>
        <v>15.294117647058822</v>
      </c>
      <c r="K126" s="14">
        <f t="shared" si="14"/>
        <v>0.9990103617063486</v>
      </c>
      <c r="L126" s="10">
        <f t="shared" si="20"/>
        <v>1009.9701129284661</v>
      </c>
      <c r="M126" s="24">
        <v>1000</v>
      </c>
    </row>
    <row r="127" spans="1:13" x14ac:dyDescent="0.3">
      <c r="A127" s="17">
        <v>2014</v>
      </c>
      <c r="B127" s="18"/>
      <c r="C127" s="18"/>
      <c r="D127" s="18" t="s">
        <v>318</v>
      </c>
      <c r="E127" s="18">
        <v>15</v>
      </c>
      <c r="F127" s="19">
        <f>4.883-5.587*LOG10(E127) + 3.526 *LOG10(E127)^2</f>
        <v>3.1893083662413373</v>
      </c>
      <c r="G127" s="18">
        <f t="shared" si="16"/>
        <v>1.0452543554712843</v>
      </c>
      <c r="H127" s="18">
        <f>-0.294 +0.1474 *LOG10(E127) - 0.0192 *LOG10(E127)^2</f>
        <v>-0.14720140888803437</v>
      </c>
      <c r="I127" s="18">
        <v>2.6</v>
      </c>
      <c r="J127" s="18">
        <f>I127/1.02</f>
        <v>2.5490196078431371</v>
      </c>
      <c r="K127" s="18">
        <f>GLOCDF(F127,G127,H127,J127)</f>
        <v>0.34480214276171328</v>
      </c>
      <c r="L127" s="9">
        <f>-1/LN(K127)</f>
        <v>0.93915714950605778</v>
      </c>
      <c r="M127" s="20">
        <v>0.5</v>
      </c>
    </row>
    <row r="128" spans="1:13" x14ac:dyDescent="0.3">
      <c r="A128" s="21">
        <v>2014</v>
      </c>
      <c r="B128" s="12"/>
      <c r="C128" s="12"/>
      <c r="D128" s="12" t="s">
        <v>318</v>
      </c>
      <c r="E128" s="12">
        <v>15</v>
      </c>
      <c r="F128" s="13">
        <f t="shared" ref="F128:F139" si="21">4.883-5.587*LOG10(E128) + 3.526 *LOG10(E128)^2</f>
        <v>3.1893083662413373</v>
      </c>
      <c r="G128" s="12">
        <f t="shared" si="16"/>
        <v>1.0452543554712843</v>
      </c>
      <c r="H128" s="12">
        <f t="shared" ref="H128:H139" si="22">-0.294 +0.1474 *LOG10(E128) - 0.0192 *LOG10(E128)^2</f>
        <v>-0.14720140888803437</v>
      </c>
      <c r="I128" s="12">
        <v>3.3</v>
      </c>
      <c r="J128" s="12">
        <f t="shared" ref="J128:J139" si="23">I128/1.02</f>
        <v>3.2352941176470584</v>
      </c>
      <c r="K128" s="12">
        <f>GLOCDF(F128,G128,H128,J128)</f>
        <v>0.51096148093409677</v>
      </c>
      <c r="L128" s="10">
        <f>-1/LN(K128)</f>
        <v>1.4892896142443988</v>
      </c>
      <c r="M128" s="22">
        <v>1</v>
      </c>
    </row>
    <row r="129" spans="1:13" x14ac:dyDescent="0.3">
      <c r="A129" s="21">
        <v>2014</v>
      </c>
      <c r="B129" s="12"/>
      <c r="C129" s="12"/>
      <c r="D129" s="12" t="s">
        <v>318</v>
      </c>
      <c r="E129" s="12">
        <v>15</v>
      </c>
      <c r="F129" s="13">
        <f t="shared" si="21"/>
        <v>3.1893083662413373</v>
      </c>
      <c r="G129" s="12">
        <f t="shared" si="16"/>
        <v>1.0452543554712843</v>
      </c>
      <c r="H129" s="12">
        <f t="shared" si="22"/>
        <v>-0.14720140888803437</v>
      </c>
      <c r="I129" s="12">
        <v>4</v>
      </c>
      <c r="J129" s="12">
        <f t="shared" si="23"/>
        <v>3.9215686274509802</v>
      </c>
      <c r="K129" s="12">
        <f>GLOCDF(F129,G129,H129,J129)</f>
        <v>0.66077305193143598</v>
      </c>
      <c r="L129" s="10">
        <f>-1/LN(K129)</f>
        <v>2.4134486709702694</v>
      </c>
      <c r="M129" s="22">
        <v>2</v>
      </c>
    </row>
    <row r="130" spans="1:13" x14ac:dyDescent="0.3">
      <c r="A130" s="21">
        <v>2014</v>
      </c>
      <c r="B130" s="12"/>
      <c r="C130" s="12"/>
      <c r="D130" s="12" t="s">
        <v>318</v>
      </c>
      <c r="E130" s="12">
        <v>15</v>
      </c>
      <c r="F130" s="13">
        <f t="shared" si="21"/>
        <v>3.1893083662413373</v>
      </c>
      <c r="G130" s="12">
        <f t="shared" si="16"/>
        <v>1.0452543554712843</v>
      </c>
      <c r="H130" s="12">
        <f t="shared" si="22"/>
        <v>-0.14720140888803437</v>
      </c>
      <c r="I130" s="12">
        <v>5.2</v>
      </c>
      <c r="J130" s="12">
        <f t="shared" si="23"/>
        <v>5.0980392156862742</v>
      </c>
      <c r="K130" s="12">
        <f>GLOCDF(F130,G130,H130,J130)</f>
        <v>0.8344274721651872</v>
      </c>
      <c r="L130" s="10">
        <f>-1/LN(K130)</f>
        <v>5.5245733985791832</v>
      </c>
      <c r="M130" s="22">
        <v>5</v>
      </c>
    </row>
    <row r="131" spans="1:13" x14ac:dyDescent="0.3">
      <c r="A131" s="21">
        <v>2014</v>
      </c>
      <c r="B131" s="12"/>
      <c r="C131" s="12"/>
      <c r="D131" s="12" t="s">
        <v>318</v>
      </c>
      <c r="E131" s="12">
        <v>15</v>
      </c>
      <c r="F131" s="13">
        <f t="shared" si="21"/>
        <v>3.1893083662413373</v>
      </c>
      <c r="G131" s="12">
        <f t="shared" si="16"/>
        <v>1.0452543554712843</v>
      </c>
      <c r="H131" s="12">
        <f t="shared" si="22"/>
        <v>-0.14720140888803437</v>
      </c>
      <c r="I131" s="12">
        <v>6.2</v>
      </c>
      <c r="J131" s="12">
        <f t="shared" si="23"/>
        <v>6.0784313725490193</v>
      </c>
      <c r="K131" s="12">
        <f t="shared" ref="K131:K139" si="24">GLOCDF(F131,G131,H131,J131)</f>
        <v>0.91044261093182122</v>
      </c>
      <c r="L131" s="10">
        <f t="shared" ref="L131:L139" si="25">-1/LN(K131)</f>
        <v>10.658206940403376</v>
      </c>
      <c r="M131" s="22">
        <v>10</v>
      </c>
    </row>
    <row r="132" spans="1:13" x14ac:dyDescent="0.3">
      <c r="A132" s="21">
        <v>2014</v>
      </c>
      <c r="B132" s="12"/>
      <c r="C132" s="12"/>
      <c r="D132" s="12" t="s">
        <v>318</v>
      </c>
      <c r="E132" s="12">
        <v>15</v>
      </c>
      <c r="F132" s="13">
        <f t="shared" si="21"/>
        <v>3.1893083662413373</v>
      </c>
      <c r="G132" s="12">
        <f t="shared" si="16"/>
        <v>1.0452543554712843</v>
      </c>
      <c r="H132" s="12">
        <f t="shared" si="22"/>
        <v>-0.14720140888803437</v>
      </c>
      <c r="I132" s="12">
        <v>7.3</v>
      </c>
      <c r="J132" s="12">
        <f t="shared" si="23"/>
        <v>7.1568627450980387</v>
      </c>
      <c r="K132" s="12">
        <f t="shared" si="24"/>
        <v>0.95326781404673655</v>
      </c>
      <c r="L132" s="10">
        <f t="shared" si="25"/>
        <v>20.894540091590414</v>
      </c>
      <c r="M132" s="22">
        <v>20</v>
      </c>
    </row>
    <row r="133" spans="1:13" x14ac:dyDescent="0.3">
      <c r="A133" s="21">
        <v>2014</v>
      </c>
      <c r="B133" s="12"/>
      <c r="C133" s="12"/>
      <c r="D133" s="12" t="s">
        <v>318</v>
      </c>
      <c r="E133" s="12">
        <v>15</v>
      </c>
      <c r="F133" s="13">
        <f t="shared" si="21"/>
        <v>3.1893083662413373</v>
      </c>
      <c r="G133" s="12">
        <f t="shared" si="16"/>
        <v>1.0452543554712843</v>
      </c>
      <c r="H133" s="12">
        <f t="shared" si="22"/>
        <v>-0.14720140888803437</v>
      </c>
      <c r="I133" s="12">
        <v>7.6</v>
      </c>
      <c r="J133" s="12">
        <f t="shared" si="23"/>
        <v>7.450980392156862</v>
      </c>
      <c r="K133" s="12">
        <f t="shared" si="24"/>
        <v>0.96059368899352759</v>
      </c>
      <c r="L133" s="10">
        <f t="shared" si="25"/>
        <v>24.873295660795272</v>
      </c>
      <c r="M133" s="22">
        <v>25</v>
      </c>
    </row>
    <row r="134" spans="1:13" x14ac:dyDescent="0.3">
      <c r="A134" s="21">
        <v>2014</v>
      </c>
      <c r="B134" s="12"/>
      <c r="C134" s="12"/>
      <c r="D134" s="12" t="s">
        <v>318</v>
      </c>
      <c r="E134" s="12">
        <v>15</v>
      </c>
      <c r="F134" s="13">
        <f t="shared" si="21"/>
        <v>3.1893083662413373</v>
      </c>
      <c r="G134" s="12">
        <f t="shared" si="16"/>
        <v>1.0452543554712843</v>
      </c>
      <c r="H134" s="12">
        <f t="shared" si="22"/>
        <v>-0.14720140888803437</v>
      </c>
      <c r="I134" s="12">
        <v>8.9</v>
      </c>
      <c r="J134" s="12">
        <f t="shared" si="23"/>
        <v>8.7254901960784323</v>
      </c>
      <c r="K134" s="12">
        <f t="shared" si="24"/>
        <v>0.98046542396858927</v>
      </c>
      <c r="L134" s="10">
        <f t="shared" si="25"/>
        <v>50.689638511941048</v>
      </c>
      <c r="M134" s="22">
        <v>50</v>
      </c>
    </row>
    <row r="135" spans="1:13" x14ac:dyDescent="0.3">
      <c r="A135" s="21">
        <v>2014</v>
      </c>
      <c r="B135" s="12"/>
      <c r="C135" s="12"/>
      <c r="D135" s="12" t="s">
        <v>318</v>
      </c>
      <c r="E135" s="12">
        <v>15</v>
      </c>
      <c r="F135" s="13">
        <f t="shared" si="21"/>
        <v>3.1893083662413373</v>
      </c>
      <c r="G135" s="12">
        <f t="shared" si="16"/>
        <v>1.0452543554712843</v>
      </c>
      <c r="H135" s="12">
        <f t="shared" si="22"/>
        <v>-0.14720140888803437</v>
      </c>
      <c r="I135" s="12">
        <v>10.3</v>
      </c>
      <c r="J135" s="12">
        <f t="shared" si="23"/>
        <v>10.098039215686274</v>
      </c>
      <c r="K135" s="12">
        <f t="shared" si="24"/>
        <v>0.9902076172333959</v>
      </c>
      <c r="L135" s="10">
        <f t="shared" si="25"/>
        <v>101.61937110387203</v>
      </c>
      <c r="M135" s="22">
        <v>100</v>
      </c>
    </row>
    <row r="136" spans="1:13" x14ac:dyDescent="0.3">
      <c r="A136" s="21">
        <v>2014</v>
      </c>
      <c r="B136" s="12"/>
      <c r="C136" s="12"/>
      <c r="D136" s="12" t="s">
        <v>318</v>
      </c>
      <c r="E136" s="12">
        <v>15</v>
      </c>
      <c r="F136" s="13">
        <f t="shared" si="21"/>
        <v>3.1893083662413373</v>
      </c>
      <c r="G136" s="12">
        <f t="shared" si="16"/>
        <v>1.0452543554712843</v>
      </c>
      <c r="H136" s="12">
        <f t="shared" si="22"/>
        <v>-0.14720140888803437</v>
      </c>
      <c r="I136" s="12">
        <v>11.8</v>
      </c>
      <c r="J136" s="12">
        <f t="shared" si="23"/>
        <v>11.568627450980392</v>
      </c>
      <c r="K136" s="12">
        <f t="shared" si="24"/>
        <v>0.99500553178934426</v>
      </c>
      <c r="L136" s="10">
        <f t="shared" si="25"/>
        <v>199.72109940211288</v>
      </c>
      <c r="M136" s="22">
        <v>200</v>
      </c>
    </row>
    <row r="137" spans="1:13" x14ac:dyDescent="0.3">
      <c r="A137" s="21">
        <v>2014</v>
      </c>
      <c r="B137" s="12"/>
      <c r="C137" s="12"/>
      <c r="D137" s="12" t="s">
        <v>318</v>
      </c>
      <c r="E137" s="12">
        <v>15</v>
      </c>
      <c r="F137" s="13">
        <f t="shared" si="21"/>
        <v>3.1893083662413373</v>
      </c>
      <c r="G137" s="12">
        <f t="shared" si="16"/>
        <v>1.0452543554712843</v>
      </c>
      <c r="H137" s="12">
        <f t="shared" si="22"/>
        <v>-0.14720140888803437</v>
      </c>
      <c r="I137" s="12">
        <v>12.3</v>
      </c>
      <c r="J137" s="12">
        <f t="shared" si="23"/>
        <v>12.058823529411764</v>
      </c>
      <c r="K137" s="12">
        <f t="shared" si="24"/>
        <v>0.99595492670373742</v>
      </c>
      <c r="L137" s="10">
        <f t="shared" si="25"/>
        <v>246.7139712789695</v>
      </c>
      <c r="M137" s="22">
        <v>250</v>
      </c>
    </row>
    <row r="138" spans="1:13" x14ac:dyDescent="0.3">
      <c r="A138" s="21">
        <v>2014</v>
      </c>
      <c r="B138" s="12"/>
      <c r="C138" s="12"/>
      <c r="D138" s="12" t="s">
        <v>318</v>
      </c>
      <c r="E138" s="12">
        <v>15</v>
      </c>
      <c r="F138" s="13">
        <f t="shared" si="21"/>
        <v>3.1893083662413373</v>
      </c>
      <c r="G138" s="12">
        <f t="shared" si="16"/>
        <v>1.0452543554712843</v>
      </c>
      <c r="H138" s="12">
        <f t="shared" si="22"/>
        <v>-0.14720140888803437</v>
      </c>
      <c r="I138" s="12">
        <v>14.1</v>
      </c>
      <c r="J138" s="12">
        <f t="shared" si="23"/>
        <v>13.823529411764705</v>
      </c>
      <c r="K138" s="12">
        <f t="shared" si="24"/>
        <v>0.9980111645808929</v>
      </c>
      <c r="L138" s="10">
        <f t="shared" si="25"/>
        <v>502.30664777106819</v>
      </c>
      <c r="M138" s="22">
        <v>500</v>
      </c>
    </row>
    <row r="139" spans="1:13" x14ac:dyDescent="0.3">
      <c r="A139" s="23">
        <v>2014</v>
      </c>
      <c r="B139" s="14"/>
      <c r="C139" s="14"/>
      <c r="D139" s="14" t="s">
        <v>318</v>
      </c>
      <c r="E139" s="14">
        <v>15</v>
      </c>
      <c r="F139" s="15">
        <f t="shared" si="21"/>
        <v>3.1893083662413373</v>
      </c>
      <c r="G139" s="14">
        <f t="shared" si="16"/>
        <v>1.0452543554712843</v>
      </c>
      <c r="H139" s="14">
        <f t="shared" si="22"/>
        <v>-0.14720140888803437</v>
      </c>
      <c r="I139" s="14">
        <v>16</v>
      </c>
      <c r="J139" s="14">
        <f t="shared" si="23"/>
        <v>15.686274509803921</v>
      </c>
      <c r="K139" s="14">
        <f t="shared" si="24"/>
        <v>0.99898990577876567</v>
      </c>
      <c r="L139" s="10">
        <f t="shared" si="25"/>
        <v>989.5065695958998</v>
      </c>
      <c r="M139" s="24">
        <v>1000</v>
      </c>
    </row>
    <row r="140" spans="1:13" x14ac:dyDescent="0.3">
      <c r="A140">
        <v>2014</v>
      </c>
      <c r="D140" t="s">
        <v>318</v>
      </c>
      <c r="E140">
        <v>30</v>
      </c>
      <c r="F140" s="7">
        <f>4.883-5.587*LOG10(E140) + 3.526 *LOG10(E140)^2</f>
        <v>4.3236578211170684</v>
      </c>
      <c r="G140">
        <f t="shared" si="16"/>
        <v>1.3183260533535721</v>
      </c>
      <c r="H140">
        <f>-0.294 +0.1474 *LOG10(E140) - 0.0192 *LOG10(E140)^2</f>
        <v>-0.11816456131629785</v>
      </c>
      <c r="I140">
        <v>3.5</v>
      </c>
      <c r="J140">
        <f>I140/1.02</f>
        <v>3.4313725490196076</v>
      </c>
      <c r="K140">
        <f>GLOCDF(F140,G140,H140,J140)</f>
        <v>0.33060870030529005</v>
      </c>
      <c r="L140" s="26">
        <f>-1/LN(K140)</f>
        <v>0.90348945742906095</v>
      </c>
      <c r="M140">
        <v>0.5</v>
      </c>
    </row>
    <row r="141" spans="1:13" x14ac:dyDescent="0.3">
      <c r="A141">
        <v>2014</v>
      </c>
      <c r="D141" t="s">
        <v>318</v>
      </c>
      <c r="E141">
        <v>30</v>
      </c>
      <c r="F141" s="7">
        <f t="shared" ref="F141:F152" si="26">4.883-5.587*LOG10(E141) + 3.526 *LOG10(E141)^2</f>
        <v>4.3236578211170684</v>
      </c>
      <c r="G141">
        <f t="shared" si="16"/>
        <v>1.3183260533535721</v>
      </c>
      <c r="H141">
        <f t="shared" ref="H141:H152" si="27">-0.294 +0.1474 *LOG10(E141) - 0.0192 *LOG10(E141)^2</f>
        <v>-0.11816456131629785</v>
      </c>
      <c r="I141">
        <v>4.4000000000000004</v>
      </c>
      <c r="J141">
        <f t="shared" ref="J141:J152" si="28">I141/1.02</f>
        <v>4.3137254901960791</v>
      </c>
      <c r="K141">
        <f>GLOCDF(F141,G141,H141,J141)</f>
        <v>0.49811565817822595</v>
      </c>
      <c r="L141" s="10">
        <f>-1/LN(K141)</f>
        <v>1.4348787793691953</v>
      </c>
      <c r="M141">
        <v>1</v>
      </c>
    </row>
    <row r="142" spans="1:13" x14ac:dyDescent="0.3">
      <c r="A142">
        <v>2014</v>
      </c>
      <c r="D142" t="s">
        <v>318</v>
      </c>
      <c r="E142">
        <v>30</v>
      </c>
      <c r="F142" s="7">
        <f t="shared" si="26"/>
        <v>4.3236578211170684</v>
      </c>
      <c r="G142">
        <f t="shared" si="16"/>
        <v>1.3183260533535721</v>
      </c>
      <c r="H142">
        <f t="shared" si="27"/>
        <v>-0.11816456131629785</v>
      </c>
      <c r="I142">
        <v>5.4</v>
      </c>
      <c r="J142">
        <f t="shared" si="28"/>
        <v>5.2941176470588234</v>
      </c>
      <c r="K142">
        <f>GLOCDF(F142,G142,H142,J142)</f>
        <v>0.66948522144917644</v>
      </c>
      <c r="L142" s="10">
        <f>-1/LN(K142)</f>
        <v>2.4922355143601997</v>
      </c>
      <c r="M142">
        <v>2</v>
      </c>
    </row>
    <row r="143" spans="1:13" x14ac:dyDescent="0.3">
      <c r="A143">
        <v>2014</v>
      </c>
      <c r="D143" t="s">
        <v>318</v>
      </c>
      <c r="E143">
        <v>30</v>
      </c>
      <c r="F143" s="7">
        <f t="shared" si="26"/>
        <v>4.3236578211170684</v>
      </c>
      <c r="G143">
        <f t="shared" si="16"/>
        <v>1.3183260533535721</v>
      </c>
      <c r="H143">
        <f t="shared" si="27"/>
        <v>-0.11816456131629785</v>
      </c>
      <c r="I143">
        <v>6.8</v>
      </c>
      <c r="J143">
        <f t="shared" si="28"/>
        <v>6.6666666666666661</v>
      </c>
      <c r="K143">
        <f>GLOCDF(F143,G143,H143,J143)</f>
        <v>0.83386093586887955</v>
      </c>
      <c r="L143" s="10">
        <f>-1/LN(K143)</f>
        <v>5.503921613001892</v>
      </c>
      <c r="M143">
        <v>5</v>
      </c>
    </row>
    <row r="144" spans="1:13" x14ac:dyDescent="0.3">
      <c r="A144">
        <v>2014</v>
      </c>
      <c r="D144" t="s">
        <v>318</v>
      </c>
      <c r="E144">
        <v>30</v>
      </c>
      <c r="F144" s="7">
        <f t="shared" si="26"/>
        <v>4.3236578211170684</v>
      </c>
      <c r="G144">
        <f t="shared" si="16"/>
        <v>1.3183260533535721</v>
      </c>
      <c r="H144">
        <f t="shared" si="27"/>
        <v>-0.11816456131629785</v>
      </c>
      <c r="I144">
        <v>8</v>
      </c>
      <c r="J144">
        <f t="shared" si="28"/>
        <v>7.8431372549019605</v>
      </c>
      <c r="K144">
        <f t="shared" ref="K144:K152" si="29">GLOCDF(F144,G144,H144,J144)</f>
        <v>0.91055015547586804</v>
      </c>
      <c r="L144" s="10">
        <f t="shared" ref="L144:L152" si="30">-1/LN(K144)</f>
        <v>10.671641565027624</v>
      </c>
      <c r="M144">
        <v>10</v>
      </c>
    </row>
    <row r="145" spans="1:13" x14ac:dyDescent="0.3">
      <c r="A145">
        <v>2014</v>
      </c>
      <c r="D145" t="s">
        <v>318</v>
      </c>
      <c r="E145">
        <v>30</v>
      </c>
      <c r="F145" s="7">
        <f t="shared" si="26"/>
        <v>4.3236578211170684</v>
      </c>
      <c r="G145">
        <f t="shared" si="16"/>
        <v>1.3183260533535721</v>
      </c>
      <c r="H145">
        <f t="shared" si="27"/>
        <v>-0.11816456131629785</v>
      </c>
      <c r="I145">
        <v>9.1999999999999993</v>
      </c>
      <c r="J145">
        <f t="shared" si="28"/>
        <v>9.0196078431372548</v>
      </c>
      <c r="K145">
        <f t="shared" si="29"/>
        <v>0.95133673404543928</v>
      </c>
      <c r="L145" s="10">
        <f t="shared" si="30"/>
        <v>20.045224054044571</v>
      </c>
      <c r="M145">
        <v>20</v>
      </c>
    </row>
    <row r="146" spans="1:13" x14ac:dyDescent="0.3">
      <c r="A146">
        <v>2014</v>
      </c>
      <c r="D146" t="s">
        <v>318</v>
      </c>
      <c r="E146">
        <v>30</v>
      </c>
      <c r="F146" s="7">
        <f t="shared" si="26"/>
        <v>4.3236578211170684</v>
      </c>
      <c r="G146">
        <f t="shared" si="16"/>
        <v>1.3183260533535721</v>
      </c>
      <c r="H146">
        <f t="shared" si="27"/>
        <v>-0.11816456131629785</v>
      </c>
      <c r="I146">
        <v>9.6999999999999993</v>
      </c>
      <c r="J146">
        <f t="shared" si="28"/>
        <v>9.5098039215686274</v>
      </c>
      <c r="K146">
        <f t="shared" si="29"/>
        <v>0.96197210267641831</v>
      </c>
      <c r="L146" s="10">
        <f t="shared" si="30"/>
        <v>25.793253432248502</v>
      </c>
      <c r="M146">
        <v>25</v>
      </c>
    </row>
    <row r="147" spans="1:13" x14ac:dyDescent="0.3">
      <c r="A147">
        <v>2014</v>
      </c>
      <c r="D147" t="s">
        <v>318</v>
      </c>
      <c r="E147">
        <v>30</v>
      </c>
      <c r="F147" s="7">
        <f t="shared" si="26"/>
        <v>4.3236578211170684</v>
      </c>
      <c r="G147">
        <f t="shared" si="16"/>
        <v>1.3183260533535721</v>
      </c>
      <c r="H147">
        <f t="shared" si="27"/>
        <v>-0.11816456131629785</v>
      </c>
      <c r="I147">
        <v>11.1</v>
      </c>
      <c r="J147">
        <f t="shared" si="28"/>
        <v>10.882352941176469</v>
      </c>
      <c r="K147">
        <f t="shared" si="29"/>
        <v>0.98041353636531547</v>
      </c>
      <c r="L147" s="10">
        <f t="shared" si="30"/>
        <v>50.55402039394923</v>
      </c>
      <c r="M147">
        <v>50</v>
      </c>
    </row>
    <row r="148" spans="1:13" x14ac:dyDescent="0.3">
      <c r="A148">
        <v>2014</v>
      </c>
      <c r="D148" t="s">
        <v>318</v>
      </c>
      <c r="E148">
        <v>30</v>
      </c>
      <c r="F148" s="7">
        <f t="shared" si="26"/>
        <v>4.3236578211170684</v>
      </c>
      <c r="G148">
        <f t="shared" si="16"/>
        <v>1.3183260533535721</v>
      </c>
      <c r="H148">
        <f t="shared" si="27"/>
        <v>-0.11816456131629785</v>
      </c>
      <c r="I148">
        <v>12.6</v>
      </c>
      <c r="J148">
        <f t="shared" si="28"/>
        <v>12.352941176470587</v>
      </c>
      <c r="K148">
        <f t="shared" si="29"/>
        <v>0.98992934450278736</v>
      </c>
      <c r="L148" s="10">
        <f t="shared" si="30"/>
        <v>98.797558727807413</v>
      </c>
      <c r="M148">
        <v>100</v>
      </c>
    </row>
    <row r="149" spans="1:13" x14ac:dyDescent="0.3">
      <c r="A149">
        <v>2014</v>
      </c>
      <c r="D149" t="s">
        <v>318</v>
      </c>
      <c r="E149">
        <v>30</v>
      </c>
      <c r="F149" s="7">
        <f t="shared" si="26"/>
        <v>4.3236578211170684</v>
      </c>
      <c r="G149">
        <f t="shared" si="16"/>
        <v>1.3183260533535721</v>
      </c>
      <c r="H149">
        <f t="shared" si="27"/>
        <v>-0.11816456131629785</v>
      </c>
      <c r="I149">
        <v>14.3</v>
      </c>
      <c r="J149">
        <f t="shared" si="28"/>
        <v>14.019607843137255</v>
      </c>
      <c r="K149">
        <f t="shared" si="29"/>
        <v>0.99499831401892669</v>
      </c>
      <c r="L149" s="10">
        <f t="shared" si="30"/>
        <v>199.43216563681153</v>
      </c>
      <c r="M149">
        <v>200</v>
      </c>
    </row>
    <row r="150" spans="1:13" x14ac:dyDescent="0.3">
      <c r="A150">
        <v>2014</v>
      </c>
      <c r="D150" t="s">
        <v>318</v>
      </c>
      <c r="E150">
        <v>30</v>
      </c>
      <c r="F150" s="7">
        <f t="shared" si="26"/>
        <v>4.3236578211170684</v>
      </c>
      <c r="G150">
        <f t="shared" si="16"/>
        <v>1.3183260533535721</v>
      </c>
      <c r="H150">
        <f t="shared" si="27"/>
        <v>-0.11816456131629785</v>
      </c>
      <c r="I150">
        <v>14.9</v>
      </c>
      <c r="J150">
        <f t="shared" si="28"/>
        <v>14.607843137254902</v>
      </c>
      <c r="K150">
        <f t="shared" si="29"/>
        <v>0.99604333186660376</v>
      </c>
      <c r="L150" s="10">
        <f t="shared" si="30"/>
        <v>252.23757087944762</v>
      </c>
      <c r="M150">
        <v>250</v>
      </c>
    </row>
    <row r="151" spans="1:13" x14ac:dyDescent="0.3">
      <c r="A151">
        <v>2014</v>
      </c>
      <c r="D151" t="s">
        <v>318</v>
      </c>
      <c r="E151">
        <v>30</v>
      </c>
      <c r="F151" s="7">
        <f t="shared" si="26"/>
        <v>4.3236578211170684</v>
      </c>
      <c r="G151">
        <f t="shared" si="16"/>
        <v>1.3183260533535721</v>
      </c>
      <c r="H151">
        <f t="shared" si="27"/>
        <v>-0.11816456131629785</v>
      </c>
      <c r="I151">
        <v>16.7</v>
      </c>
      <c r="J151">
        <f t="shared" si="28"/>
        <v>16.372549019607842</v>
      </c>
      <c r="K151">
        <f t="shared" si="29"/>
        <v>0.99797010663332986</v>
      </c>
      <c r="L151" s="10">
        <f t="shared" si="30"/>
        <v>492.13654569165817</v>
      </c>
      <c r="M151">
        <v>500</v>
      </c>
    </row>
    <row r="152" spans="1:13" x14ac:dyDescent="0.3">
      <c r="A152">
        <v>2014</v>
      </c>
      <c r="D152" t="s">
        <v>318</v>
      </c>
      <c r="E152">
        <v>30</v>
      </c>
      <c r="F152" s="7">
        <f t="shared" si="26"/>
        <v>4.3236578211170684</v>
      </c>
      <c r="G152">
        <f t="shared" si="16"/>
        <v>1.3183260533535721</v>
      </c>
      <c r="H152">
        <f t="shared" si="27"/>
        <v>-0.11816456131629785</v>
      </c>
      <c r="I152">
        <v>18.8</v>
      </c>
      <c r="J152">
        <f t="shared" si="28"/>
        <v>18.43137254901961</v>
      </c>
      <c r="K152">
        <f t="shared" si="29"/>
        <v>0.99901028829175664</v>
      </c>
      <c r="L152" s="10">
        <f t="shared" si="30"/>
        <v>1009.8951585124172</v>
      </c>
      <c r="M152">
        <v>1000</v>
      </c>
    </row>
    <row r="153" spans="1:13" x14ac:dyDescent="0.3">
      <c r="A153">
        <v>2014</v>
      </c>
      <c r="D153" t="s">
        <v>318</v>
      </c>
      <c r="E153">
        <v>60</v>
      </c>
      <c r="F153" s="7">
        <f>4.883-5.587*LOG10(E153) + 3.526 *LOG10(E153)^2</f>
        <v>6.0970528750500508</v>
      </c>
      <c r="G153">
        <f t="shared" si="16"/>
        <v>1.7198736899384166</v>
      </c>
      <c r="H153">
        <f>-0.294 +0.1474 *LOG10(E153) - 0.0192 *LOG10(E153)^2</f>
        <v>-9.26074855828765E-2</v>
      </c>
      <c r="I153">
        <v>5</v>
      </c>
      <c r="J153">
        <f>I153/1.02</f>
        <v>4.9019607843137258</v>
      </c>
      <c r="K153">
        <f>GLOCDF(F153,G153,H153,J153)</f>
        <v>0.32778119406095035</v>
      </c>
      <c r="L153" s="9">
        <f>-1/LN(K153)</f>
        <v>0.8965321365653337</v>
      </c>
      <c r="M153">
        <v>0.5</v>
      </c>
    </row>
    <row r="154" spans="1:13" x14ac:dyDescent="0.3">
      <c r="A154">
        <v>2014</v>
      </c>
      <c r="D154" t="s">
        <v>318</v>
      </c>
      <c r="E154">
        <v>60</v>
      </c>
      <c r="F154" s="7">
        <f t="shared" ref="F154:F165" si="31">4.883-5.587*LOG10(E154) + 3.526 *LOG10(E154)^2</f>
        <v>6.0970528750500508</v>
      </c>
      <c r="G154">
        <f t="shared" si="16"/>
        <v>1.7198736899384166</v>
      </c>
      <c r="H154">
        <f t="shared" ref="H154:H165" si="32">-0.294 +0.1474 *LOG10(E154) - 0.0192 *LOG10(E154)^2</f>
        <v>-9.26074855828765E-2</v>
      </c>
      <c r="I154">
        <v>6.2</v>
      </c>
      <c r="J154">
        <f t="shared" ref="J154:J165" si="33">I154/1.02</f>
        <v>6.0784313725490193</v>
      </c>
      <c r="K154">
        <f>GLOCDF(F154,G154,H154,J154)</f>
        <v>0.49729185602219089</v>
      </c>
      <c r="L154" s="10">
        <f>-1/LN(K154)</f>
        <v>1.4314789877847411</v>
      </c>
      <c r="M154">
        <v>1</v>
      </c>
    </row>
    <row r="155" spans="1:13" x14ac:dyDescent="0.3">
      <c r="A155">
        <v>2014</v>
      </c>
      <c r="D155" t="s">
        <v>318</v>
      </c>
      <c r="E155">
        <v>60</v>
      </c>
      <c r="F155" s="7">
        <f t="shared" si="31"/>
        <v>6.0970528750500508</v>
      </c>
      <c r="G155">
        <f t="shared" si="16"/>
        <v>1.7198736899384166</v>
      </c>
      <c r="H155">
        <f t="shared" si="32"/>
        <v>-9.26074855828765E-2</v>
      </c>
      <c r="I155">
        <v>7.5</v>
      </c>
      <c r="J155">
        <f t="shared" si="33"/>
        <v>7.3529411764705879</v>
      </c>
      <c r="K155">
        <f>GLOCDF(F155,G155,H155,J155)</f>
        <v>0.66964736006229852</v>
      </c>
      <c r="L155" s="10">
        <f>-1/LN(K155)</f>
        <v>2.4937405029749566</v>
      </c>
      <c r="M155">
        <v>2</v>
      </c>
    </row>
    <row r="156" spans="1:13" x14ac:dyDescent="0.3">
      <c r="A156">
        <v>2014</v>
      </c>
      <c r="D156" t="s">
        <v>318</v>
      </c>
      <c r="E156">
        <v>60</v>
      </c>
      <c r="F156" s="7">
        <f t="shared" si="31"/>
        <v>6.0970528750500508</v>
      </c>
      <c r="G156">
        <f t="shared" si="16"/>
        <v>1.7198736899384166</v>
      </c>
      <c r="H156">
        <f t="shared" si="32"/>
        <v>-9.26074855828765E-2</v>
      </c>
      <c r="I156">
        <v>9.3000000000000007</v>
      </c>
      <c r="J156">
        <f t="shared" si="33"/>
        <v>9.1176470588235308</v>
      </c>
      <c r="K156">
        <f>GLOCDF(F156,G156,H156,J156)</f>
        <v>0.83579618262512667</v>
      </c>
      <c r="L156" s="10">
        <f>-1/LN(K156)</f>
        <v>5.5750528686480614</v>
      </c>
      <c r="M156">
        <v>5</v>
      </c>
    </row>
    <row r="157" spans="1:13" x14ac:dyDescent="0.3">
      <c r="A157">
        <v>2014</v>
      </c>
      <c r="D157" t="s">
        <v>318</v>
      </c>
      <c r="E157">
        <v>60</v>
      </c>
      <c r="F157" s="7">
        <f t="shared" si="31"/>
        <v>6.0970528750500508</v>
      </c>
      <c r="G157">
        <f t="shared" si="16"/>
        <v>1.7198736899384166</v>
      </c>
      <c r="H157">
        <f t="shared" si="32"/>
        <v>-9.26074855828765E-2</v>
      </c>
      <c r="I157">
        <v>10.7</v>
      </c>
      <c r="J157">
        <f t="shared" si="33"/>
        <v>10.490196078431371</v>
      </c>
      <c r="K157">
        <f t="shared" ref="K157:K165" si="34">GLOCDF(F157,G157,H157,J157)</f>
        <v>0.90827507473521674</v>
      </c>
      <c r="L157" s="10">
        <f t="shared" ref="L157:L165" si="35">-1/LN(K157)</f>
        <v>10.394145961214509</v>
      </c>
      <c r="M157">
        <v>10</v>
      </c>
    </row>
    <row r="158" spans="1:13" x14ac:dyDescent="0.3">
      <c r="A158">
        <v>2014</v>
      </c>
      <c r="D158" t="s">
        <v>318</v>
      </c>
      <c r="E158">
        <v>60</v>
      </c>
      <c r="F158" s="7">
        <f t="shared" si="31"/>
        <v>6.0970528750500508</v>
      </c>
      <c r="G158">
        <f t="shared" si="16"/>
        <v>1.7198736899384166</v>
      </c>
      <c r="H158">
        <f t="shared" si="32"/>
        <v>-9.26074855828765E-2</v>
      </c>
      <c r="I158">
        <v>12.3</v>
      </c>
      <c r="J158">
        <f t="shared" si="33"/>
        <v>12.058823529411764</v>
      </c>
      <c r="K158">
        <f t="shared" si="34"/>
        <v>0.95285511865512174</v>
      </c>
      <c r="L158" s="10">
        <f t="shared" si="35"/>
        <v>20.707186241881715</v>
      </c>
      <c r="M158">
        <v>20</v>
      </c>
    </row>
    <row r="159" spans="1:13" x14ac:dyDescent="0.3">
      <c r="A159">
        <v>2014</v>
      </c>
      <c r="D159" t="s">
        <v>318</v>
      </c>
      <c r="E159">
        <v>60</v>
      </c>
      <c r="F159" s="7">
        <f t="shared" si="31"/>
        <v>6.0970528750500508</v>
      </c>
      <c r="G159">
        <f t="shared" si="16"/>
        <v>1.7198736899384166</v>
      </c>
      <c r="H159">
        <f t="shared" si="32"/>
        <v>-9.26074855828765E-2</v>
      </c>
      <c r="I159">
        <v>12.8</v>
      </c>
      <c r="J159">
        <f t="shared" si="33"/>
        <v>12.549019607843137</v>
      </c>
      <c r="K159">
        <f t="shared" si="34"/>
        <v>0.96157512260965539</v>
      </c>
      <c r="L159" s="10">
        <f t="shared" si="35"/>
        <v>25.521541397426006</v>
      </c>
      <c r="M159">
        <v>25</v>
      </c>
    </row>
    <row r="160" spans="1:13" x14ac:dyDescent="0.3">
      <c r="A160">
        <v>2014</v>
      </c>
      <c r="D160" t="s">
        <v>318</v>
      </c>
      <c r="E160">
        <v>60</v>
      </c>
      <c r="F160" s="7">
        <f t="shared" si="31"/>
        <v>6.0970528750500508</v>
      </c>
      <c r="G160">
        <f t="shared" si="16"/>
        <v>1.7198736899384166</v>
      </c>
      <c r="H160">
        <f t="shared" si="32"/>
        <v>-9.26074855828765E-2</v>
      </c>
      <c r="I160">
        <v>14.5</v>
      </c>
      <c r="J160">
        <f t="shared" si="33"/>
        <v>14.215686274509803</v>
      </c>
      <c r="K160">
        <f t="shared" si="34"/>
        <v>0.98047103962970161</v>
      </c>
      <c r="L160" s="10">
        <f t="shared" si="35"/>
        <v>50.704359327069547</v>
      </c>
      <c r="M160">
        <v>50</v>
      </c>
    </row>
    <row r="161" spans="1:13" x14ac:dyDescent="0.3">
      <c r="A161">
        <v>2014</v>
      </c>
      <c r="D161" t="s">
        <v>318</v>
      </c>
      <c r="E161">
        <v>60</v>
      </c>
      <c r="F161" s="7">
        <f t="shared" si="31"/>
        <v>6.0970528750500508</v>
      </c>
      <c r="G161">
        <f t="shared" si="16"/>
        <v>1.7198736899384166</v>
      </c>
      <c r="H161">
        <f t="shared" si="32"/>
        <v>-9.26074855828765E-2</v>
      </c>
      <c r="I161">
        <v>16.3</v>
      </c>
      <c r="J161">
        <f t="shared" si="33"/>
        <v>15.980392156862745</v>
      </c>
      <c r="K161">
        <f t="shared" si="34"/>
        <v>0.99012164604679986</v>
      </c>
      <c r="L161" s="10">
        <f t="shared" si="35"/>
        <v>100.73061316662057</v>
      </c>
      <c r="M161">
        <v>100</v>
      </c>
    </row>
    <row r="162" spans="1:13" x14ac:dyDescent="0.3">
      <c r="A162">
        <v>2014</v>
      </c>
      <c r="D162" t="s">
        <v>318</v>
      </c>
      <c r="E162">
        <v>60</v>
      </c>
      <c r="F162" s="7">
        <f t="shared" si="31"/>
        <v>6.0970528750500508</v>
      </c>
      <c r="G162">
        <f t="shared" si="16"/>
        <v>1.7198736899384166</v>
      </c>
      <c r="H162">
        <f t="shared" si="32"/>
        <v>-9.26074855828765E-2</v>
      </c>
      <c r="I162">
        <v>18.2</v>
      </c>
      <c r="J162">
        <f t="shared" si="33"/>
        <v>17.843137254901961</v>
      </c>
      <c r="K162">
        <f t="shared" si="34"/>
        <v>0.99499446293599958</v>
      </c>
      <c r="L162" s="10">
        <f t="shared" si="35"/>
        <v>199.27834426590243</v>
      </c>
      <c r="M162">
        <v>200</v>
      </c>
    </row>
    <row r="163" spans="1:13" x14ac:dyDescent="0.3">
      <c r="A163">
        <v>2014</v>
      </c>
      <c r="D163" t="s">
        <v>318</v>
      </c>
      <c r="E163">
        <v>60</v>
      </c>
      <c r="F163" s="7">
        <f t="shared" si="31"/>
        <v>6.0970528750500508</v>
      </c>
      <c r="G163">
        <f t="shared" si="16"/>
        <v>1.7198736899384166</v>
      </c>
      <c r="H163">
        <f t="shared" si="32"/>
        <v>-9.26074855828765E-2</v>
      </c>
      <c r="I163">
        <v>18.899999999999999</v>
      </c>
      <c r="J163">
        <f t="shared" si="33"/>
        <v>18.52941176470588</v>
      </c>
      <c r="K163">
        <f t="shared" si="34"/>
        <v>0.9960649831888172</v>
      </c>
      <c r="L163" s="10">
        <f t="shared" si="35"/>
        <v>253.62819184148879</v>
      </c>
      <c r="M163">
        <v>250</v>
      </c>
    </row>
    <row r="164" spans="1:13" x14ac:dyDescent="0.3">
      <c r="A164">
        <v>2014</v>
      </c>
      <c r="D164" t="s">
        <v>318</v>
      </c>
      <c r="E164">
        <v>60</v>
      </c>
      <c r="F164" s="7">
        <f t="shared" si="31"/>
        <v>6.0970528750500508</v>
      </c>
      <c r="G164">
        <f t="shared" si="16"/>
        <v>1.7198736899384166</v>
      </c>
      <c r="H164">
        <f t="shared" si="32"/>
        <v>-9.26074855828765E-2</v>
      </c>
      <c r="I164">
        <v>21</v>
      </c>
      <c r="J164">
        <f t="shared" si="33"/>
        <v>20.588235294117645</v>
      </c>
      <c r="K164">
        <f t="shared" si="34"/>
        <v>0.99803079218526525</v>
      </c>
      <c r="L164" s="10">
        <f t="shared" si="35"/>
        <v>507.31825516360868</v>
      </c>
      <c r="M164">
        <v>500</v>
      </c>
    </row>
    <row r="165" spans="1:13" x14ac:dyDescent="0.3">
      <c r="A165">
        <v>2014</v>
      </c>
      <c r="D165" t="s">
        <v>318</v>
      </c>
      <c r="E165">
        <v>60</v>
      </c>
      <c r="F165" s="7">
        <f t="shared" si="31"/>
        <v>6.0970528750500508</v>
      </c>
      <c r="G165">
        <f t="shared" si="16"/>
        <v>1.7198736899384166</v>
      </c>
      <c r="H165">
        <f t="shared" si="32"/>
        <v>-9.26074855828765E-2</v>
      </c>
      <c r="I165">
        <v>23.2</v>
      </c>
      <c r="J165">
        <f t="shared" si="33"/>
        <v>22.745098039215684</v>
      </c>
      <c r="K165">
        <f t="shared" si="34"/>
        <v>0.99900379066886569</v>
      </c>
      <c r="L165" s="10">
        <f t="shared" si="35"/>
        <v>1003.305009653341</v>
      </c>
      <c r="M165">
        <v>1000</v>
      </c>
    </row>
    <row r="166" spans="1:13" x14ac:dyDescent="0.3">
      <c r="A166">
        <v>2014</v>
      </c>
      <c r="D166" t="s">
        <v>318</v>
      </c>
      <c r="E166">
        <v>120</v>
      </c>
      <c r="F166" s="7">
        <f>4.883-5.587*LOG10(E166) + 3.526 *LOG10(E166)^2</f>
        <v>8.5094935280402773</v>
      </c>
      <c r="G166">
        <f t="shared" si="16"/>
        <v>2.2839480629260107</v>
      </c>
      <c r="H166">
        <f>-0.294 +0.1474 *LOG10(E166) - 0.0192 *LOG10(E166)^2</f>
        <v>-7.0530181687770241E-2</v>
      </c>
      <c r="I166">
        <v>7.1</v>
      </c>
      <c r="J166">
        <f>I166/1.02</f>
        <v>6.9607843137254894</v>
      </c>
      <c r="K166">
        <f>GLOCDF(F166,G166,H166,J166)</f>
        <v>0.33295829033452101</v>
      </c>
      <c r="L166" s="9">
        <f>-1/LN(K166)</f>
        <v>0.90930744735273261</v>
      </c>
      <c r="M166">
        <v>0.5</v>
      </c>
    </row>
    <row r="167" spans="1:13" x14ac:dyDescent="0.3">
      <c r="A167">
        <v>2014</v>
      </c>
      <c r="D167" t="s">
        <v>318</v>
      </c>
      <c r="E167">
        <v>120</v>
      </c>
      <c r="F167" s="7">
        <f t="shared" ref="F167:F178" si="36">4.883-5.587*LOG10(E167) + 3.526 *LOG10(E167)^2</f>
        <v>8.5094935280402773</v>
      </c>
      <c r="G167">
        <f t="shared" si="16"/>
        <v>2.2839480629260107</v>
      </c>
      <c r="H167">
        <f t="shared" ref="H167:H178" si="37">-0.294 +0.1474 *LOG10(E167) - 0.0192 *LOG10(E167)^2</f>
        <v>-7.0530181687770241E-2</v>
      </c>
      <c r="I167">
        <v>8.6999999999999993</v>
      </c>
      <c r="J167">
        <f t="shared" ref="J167:J178" si="38">I167/1.02</f>
        <v>8.5294117647058822</v>
      </c>
      <c r="K167">
        <f>GLOCDF(F167,G167,H167,J167)</f>
        <v>0.50217955780257972</v>
      </c>
      <c r="L167" s="10">
        <f>-1/LN(K167)</f>
        <v>1.4518054207246767</v>
      </c>
      <c r="M167">
        <v>1</v>
      </c>
    </row>
    <row r="168" spans="1:13" x14ac:dyDescent="0.3">
      <c r="A168">
        <v>2014</v>
      </c>
      <c r="D168" t="s">
        <v>318</v>
      </c>
      <c r="E168">
        <v>120</v>
      </c>
      <c r="F168" s="7">
        <f t="shared" si="36"/>
        <v>8.5094935280402773</v>
      </c>
      <c r="G168">
        <f t="shared" si="16"/>
        <v>2.2839480629260107</v>
      </c>
      <c r="H168">
        <f t="shared" si="37"/>
        <v>-7.0530181687770241E-2</v>
      </c>
      <c r="I168">
        <v>10.3</v>
      </c>
      <c r="J168">
        <f t="shared" si="38"/>
        <v>10.098039215686274</v>
      </c>
      <c r="K168">
        <f>GLOCDF(F168,G168,H168,J168)</f>
        <v>0.66351650441849086</v>
      </c>
      <c r="L168" s="10">
        <f>-1/LN(K168)</f>
        <v>2.4378259862866161</v>
      </c>
      <c r="M168">
        <v>2</v>
      </c>
    </row>
    <row r="169" spans="1:13" x14ac:dyDescent="0.3">
      <c r="A169">
        <v>2014</v>
      </c>
      <c r="D169" t="s">
        <v>318</v>
      </c>
      <c r="E169">
        <v>120</v>
      </c>
      <c r="F169" s="7">
        <f t="shared" si="36"/>
        <v>8.5094935280402773</v>
      </c>
      <c r="G169">
        <f t="shared" si="16"/>
        <v>2.2839480629260107</v>
      </c>
      <c r="H169">
        <f t="shared" si="37"/>
        <v>-7.0530181687770241E-2</v>
      </c>
      <c r="I169">
        <v>12.6</v>
      </c>
      <c r="J169">
        <f t="shared" si="38"/>
        <v>12.352941176470587</v>
      </c>
      <c r="K169">
        <f>GLOCDF(F169,G169,H169,J169)</f>
        <v>0.83064462408443362</v>
      </c>
      <c r="L169" s="10">
        <f>-1/LN(K169)</f>
        <v>5.3892892715948397</v>
      </c>
      <c r="M169">
        <v>5</v>
      </c>
    </row>
    <row r="170" spans="1:13" x14ac:dyDescent="0.3">
      <c r="A170">
        <v>2014</v>
      </c>
      <c r="D170" t="s">
        <v>318</v>
      </c>
      <c r="E170">
        <v>120</v>
      </c>
      <c r="F170" s="7">
        <f t="shared" si="36"/>
        <v>8.5094935280402773</v>
      </c>
      <c r="G170">
        <f t="shared" si="16"/>
        <v>2.2839480629260107</v>
      </c>
      <c r="H170">
        <f t="shared" si="37"/>
        <v>-7.0530181687770241E-2</v>
      </c>
      <c r="I170">
        <v>14.5</v>
      </c>
      <c r="J170">
        <f t="shared" si="38"/>
        <v>14.215686274509803</v>
      </c>
      <c r="K170">
        <f t="shared" ref="K170:K178" si="39">GLOCDF(F170,G170,H170,J170)</f>
        <v>0.90897046124726666</v>
      </c>
      <c r="L170" s="10">
        <f t="shared" ref="L170:L178" si="40">-1/LN(K170)</f>
        <v>10.477492745588879</v>
      </c>
      <c r="M170">
        <v>10</v>
      </c>
    </row>
    <row r="171" spans="1:13" x14ac:dyDescent="0.3">
      <c r="A171">
        <v>2014</v>
      </c>
      <c r="D171" t="s">
        <v>318</v>
      </c>
      <c r="E171">
        <v>120</v>
      </c>
      <c r="F171" s="7">
        <f t="shared" si="36"/>
        <v>8.5094935280402773</v>
      </c>
      <c r="G171">
        <f t="shared" si="16"/>
        <v>2.2839480629260107</v>
      </c>
      <c r="H171">
        <f t="shared" si="37"/>
        <v>-7.0530181687770241E-2</v>
      </c>
      <c r="I171">
        <v>16.5</v>
      </c>
      <c r="J171">
        <f t="shared" si="38"/>
        <v>16.176470588235293</v>
      </c>
      <c r="K171">
        <f t="shared" si="39"/>
        <v>0.95315142907642447</v>
      </c>
      <c r="L171" s="10">
        <f t="shared" si="40"/>
        <v>20.841369981075989</v>
      </c>
      <c r="M171">
        <v>20</v>
      </c>
    </row>
    <row r="172" spans="1:13" x14ac:dyDescent="0.3">
      <c r="A172">
        <v>2014</v>
      </c>
      <c r="D172" t="s">
        <v>318</v>
      </c>
      <c r="E172">
        <v>120</v>
      </c>
      <c r="F172" s="7">
        <f t="shared" si="36"/>
        <v>8.5094935280402773</v>
      </c>
      <c r="G172">
        <f t="shared" si="16"/>
        <v>2.2839480629260107</v>
      </c>
      <c r="H172">
        <f t="shared" si="37"/>
        <v>-7.0530181687770241E-2</v>
      </c>
      <c r="I172">
        <v>17.100000000000001</v>
      </c>
      <c r="J172">
        <f t="shared" si="38"/>
        <v>16.764705882352942</v>
      </c>
      <c r="K172">
        <f t="shared" si="39"/>
        <v>0.96156470424931773</v>
      </c>
      <c r="L172" s="10">
        <f t="shared" si="40"/>
        <v>25.514486150231519</v>
      </c>
      <c r="M172">
        <v>25</v>
      </c>
    </row>
    <row r="173" spans="1:13" x14ac:dyDescent="0.3">
      <c r="A173">
        <v>2014</v>
      </c>
      <c r="D173" t="s">
        <v>318</v>
      </c>
      <c r="E173">
        <v>120</v>
      </c>
      <c r="F173" s="7">
        <f t="shared" si="36"/>
        <v>8.5094935280402773</v>
      </c>
      <c r="G173">
        <f t="shared" si="16"/>
        <v>2.2839480629260107</v>
      </c>
      <c r="H173">
        <f t="shared" si="37"/>
        <v>-7.0530181687770241E-2</v>
      </c>
      <c r="I173">
        <v>19.2</v>
      </c>
      <c r="J173">
        <f t="shared" si="38"/>
        <v>18.823529411764707</v>
      </c>
      <c r="K173">
        <f t="shared" si="39"/>
        <v>0.98055055491521548</v>
      </c>
      <c r="L173" s="10">
        <f t="shared" si="40"/>
        <v>50.913711900050018</v>
      </c>
      <c r="M173">
        <v>50</v>
      </c>
    </row>
    <row r="174" spans="1:13" x14ac:dyDescent="0.3">
      <c r="A174">
        <v>2014</v>
      </c>
      <c r="D174" t="s">
        <v>318</v>
      </c>
      <c r="E174">
        <v>120</v>
      </c>
      <c r="F174" s="7">
        <f t="shared" si="36"/>
        <v>8.5094935280402773</v>
      </c>
      <c r="G174">
        <f t="shared" si="16"/>
        <v>2.2839480629260107</v>
      </c>
      <c r="H174">
        <f t="shared" si="37"/>
        <v>-7.0530181687770241E-2</v>
      </c>
      <c r="I174">
        <v>21.4</v>
      </c>
      <c r="J174">
        <f t="shared" si="38"/>
        <v>20.980392156862742</v>
      </c>
      <c r="K174">
        <f t="shared" si="39"/>
        <v>0.99023390927129618</v>
      </c>
      <c r="L174" s="10">
        <f t="shared" si="40"/>
        <v>101.89429887380557</v>
      </c>
      <c r="M174">
        <v>100</v>
      </c>
    </row>
    <row r="175" spans="1:13" x14ac:dyDescent="0.3">
      <c r="A175">
        <v>2014</v>
      </c>
      <c r="D175" t="s">
        <v>318</v>
      </c>
      <c r="E175">
        <v>120</v>
      </c>
      <c r="F175" s="7">
        <f t="shared" si="36"/>
        <v>8.5094935280402773</v>
      </c>
      <c r="G175">
        <f t="shared" si="16"/>
        <v>2.2839480629260107</v>
      </c>
      <c r="H175">
        <f t="shared" si="37"/>
        <v>-7.0530181687770241E-2</v>
      </c>
      <c r="I175">
        <v>23.6</v>
      </c>
      <c r="J175">
        <f t="shared" si="38"/>
        <v>23.137254901960784</v>
      </c>
      <c r="K175">
        <f t="shared" si="39"/>
        <v>0.99495816714269991</v>
      </c>
      <c r="L175" s="10">
        <f t="shared" si="40"/>
        <v>197.84014823695478</v>
      </c>
      <c r="M175">
        <v>200</v>
      </c>
    </row>
    <row r="176" spans="1:13" x14ac:dyDescent="0.3">
      <c r="A176">
        <v>2014</v>
      </c>
      <c r="D176" t="s">
        <v>318</v>
      </c>
      <c r="E176">
        <v>120</v>
      </c>
      <c r="F176" s="7">
        <f t="shared" si="36"/>
        <v>8.5094935280402773</v>
      </c>
      <c r="G176">
        <f t="shared" si="16"/>
        <v>2.2839480629260107</v>
      </c>
      <c r="H176">
        <f t="shared" si="37"/>
        <v>-7.0530181687770241E-2</v>
      </c>
      <c r="I176">
        <v>24.4</v>
      </c>
      <c r="J176">
        <f t="shared" si="38"/>
        <v>23.921568627450977</v>
      </c>
      <c r="K176">
        <f t="shared" si="39"/>
        <v>0.9960082613254162</v>
      </c>
      <c r="L176" s="10">
        <f t="shared" si="40"/>
        <v>250.01706813344876</v>
      </c>
      <c r="M176">
        <v>250</v>
      </c>
    </row>
    <row r="177" spans="1:13" x14ac:dyDescent="0.3">
      <c r="A177">
        <v>2014</v>
      </c>
      <c r="D177" t="s">
        <v>318</v>
      </c>
      <c r="E177">
        <v>120</v>
      </c>
      <c r="F177" s="7">
        <f t="shared" si="36"/>
        <v>8.5094935280402773</v>
      </c>
      <c r="G177">
        <f t="shared" si="16"/>
        <v>2.2839480629260107</v>
      </c>
      <c r="H177">
        <f t="shared" si="37"/>
        <v>-7.0530181687770241E-2</v>
      </c>
      <c r="I177">
        <v>26.8</v>
      </c>
      <c r="J177">
        <f t="shared" si="38"/>
        <v>26.274509803921568</v>
      </c>
      <c r="K177">
        <f t="shared" si="39"/>
        <v>0.99797648470229627</v>
      </c>
      <c r="L177" s="10">
        <f t="shared" si="40"/>
        <v>493.68932467240273</v>
      </c>
      <c r="M177">
        <v>500</v>
      </c>
    </row>
    <row r="178" spans="1:13" x14ac:dyDescent="0.3">
      <c r="A178">
        <v>2014</v>
      </c>
      <c r="D178" t="s">
        <v>318</v>
      </c>
      <c r="E178">
        <v>120</v>
      </c>
      <c r="F178" s="7">
        <f t="shared" si="36"/>
        <v>8.5094935280402773</v>
      </c>
      <c r="G178">
        <f>IF(E178&lt;=91,F178*(0.41692-0.07583*LOG10(E178)),F178*0.2684)</f>
        <v>2.2839480629260107</v>
      </c>
      <c r="H178">
        <f t="shared" si="37"/>
        <v>-7.0530181687770241E-2</v>
      </c>
      <c r="I178">
        <v>29.4</v>
      </c>
      <c r="J178">
        <f t="shared" si="38"/>
        <v>28.823529411764703</v>
      </c>
      <c r="K178">
        <f t="shared" si="39"/>
        <v>0.99899710841269385</v>
      </c>
      <c r="L178" s="16">
        <f t="shared" si="40"/>
        <v>996.61666624710824</v>
      </c>
      <c r="M178">
        <v>1000</v>
      </c>
    </row>
    <row r="179" spans="1:13" x14ac:dyDescent="0.3">
      <c r="A179" s="17">
        <v>2014</v>
      </c>
      <c r="B179" s="18"/>
      <c r="C179" s="18"/>
      <c r="D179" s="18" t="s">
        <v>318</v>
      </c>
      <c r="E179" s="18">
        <v>240</v>
      </c>
      <c r="F179" s="19">
        <f>4.883-5.587*LOG10(E179) + 3.526 *LOG10(E179)^2</f>
        <v>11.560979780087752</v>
      </c>
      <c r="G179" s="18">
        <f t="shared" ref="G179:G190" si="41">IF(E179&lt;=91,F179*(0.41692-0.07583*LOG10(E179)),F179*0.2684)</f>
        <v>3.1029669729755529</v>
      </c>
      <c r="H179" s="18">
        <f>-0.294 +0.1474 *LOG10(E179) - 0.0192 *LOG10(E179)^2</f>
        <v>-5.19326496309791E-2</v>
      </c>
      <c r="I179" s="18">
        <v>9.6</v>
      </c>
      <c r="J179" s="18">
        <f>I179/1.02</f>
        <v>9.4117647058823533</v>
      </c>
      <c r="K179" s="18">
        <f>GLOCDF(F179,G179,H179,J179)</f>
        <v>0.33061687174299781</v>
      </c>
      <c r="L179" s="9">
        <f>-1/LN(K179)</f>
        <v>0.90350963341217527</v>
      </c>
      <c r="M179" s="20">
        <v>0.5</v>
      </c>
    </row>
    <row r="180" spans="1:13" x14ac:dyDescent="0.3">
      <c r="A180" s="21">
        <v>2014</v>
      </c>
      <c r="B180" s="12"/>
      <c r="C180" s="12"/>
      <c r="D180" s="12" t="s">
        <v>318</v>
      </c>
      <c r="E180" s="12">
        <v>240</v>
      </c>
      <c r="F180" s="13">
        <f t="shared" ref="F180:F191" si="42">4.883-5.587*LOG10(E180) + 3.526 *LOG10(E180)^2</f>
        <v>11.560979780087752</v>
      </c>
      <c r="G180" s="12">
        <f t="shared" si="41"/>
        <v>3.1029669729755529</v>
      </c>
      <c r="H180" s="12">
        <f t="shared" ref="H180:H191" si="43">-0.294 +0.1474 *LOG10(E180) - 0.0192 *LOG10(E180)^2</f>
        <v>-5.19326496309791E-2</v>
      </c>
      <c r="I180" s="12">
        <v>11.8</v>
      </c>
      <c r="J180" s="12">
        <f t="shared" ref="J180:J191" si="44">I180/1.02</f>
        <v>11.568627450980392</v>
      </c>
      <c r="K180" s="12">
        <f>GLOCDF(F180,G180,H180,J180)</f>
        <v>0.50061611819423257</v>
      </c>
      <c r="L180" s="10">
        <f>-1/LN(K180)</f>
        <v>1.4452627625347467</v>
      </c>
      <c r="M180" s="22">
        <v>1</v>
      </c>
    </row>
    <row r="181" spans="1:13" x14ac:dyDescent="0.3">
      <c r="A181" s="21">
        <v>2014</v>
      </c>
      <c r="B181" s="12"/>
      <c r="C181" s="12"/>
      <c r="D181" s="12" t="s">
        <v>318</v>
      </c>
      <c r="E181" s="12">
        <v>240</v>
      </c>
      <c r="F181" s="13">
        <f t="shared" si="42"/>
        <v>11.560979780087752</v>
      </c>
      <c r="G181" s="12">
        <f t="shared" si="41"/>
        <v>3.1029669729755529</v>
      </c>
      <c r="H181" s="12">
        <f t="shared" si="43"/>
        <v>-5.19326496309791E-2</v>
      </c>
      <c r="I181" s="12">
        <v>14</v>
      </c>
      <c r="J181" s="12">
        <f t="shared" si="44"/>
        <v>13.725490196078431</v>
      </c>
      <c r="K181" s="12">
        <f>GLOCDF(F181,G181,H181,J181)</f>
        <v>0.6649035559381502</v>
      </c>
      <c r="L181" s="10">
        <f>-1/LN(K181)</f>
        <v>2.4503000885077455</v>
      </c>
      <c r="M181" s="22">
        <v>2</v>
      </c>
    </row>
    <row r="182" spans="1:13" x14ac:dyDescent="0.3">
      <c r="A182" s="21">
        <v>2014</v>
      </c>
      <c r="B182" s="12"/>
      <c r="C182" s="12"/>
      <c r="D182" s="12" t="s">
        <v>318</v>
      </c>
      <c r="E182" s="12">
        <v>240</v>
      </c>
      <c r="F182" s="13">
        <f t="shared" si="42"/>
        <v>11.560979780087752</v>
      </c>
      <c r="G182" s="12">
        <f t="shared" si="41"/>
        <v>3.1029669729755529</v>
      </c>
      <c r="H182" s="12">
        <f t="shared" si="43"/>
        <v>-5.19326496309791E-2</v>
      </c>
      <c r="I182" s="12">
        <v>17.100000000000001</v>
      </c>
      <c r="J182" s="12">
        <f t="shared" si="44"/>
        <v>16.764705882352942</v>
      </c>
      <c r="K182" s="12">
        <f>GLOCDF(F182,G182,H182,J182)</f>
        <v>0.8331293705240268</v>
      </c>
      <c r="L182" s="10">
        <f>-1/LN(K182)</f>
        <v>5.4774608965349554</v>
      </c>
      <c r="M182" s="22">
        <v>5</v>
      </c>
    </row>
    <row r="183" spans="1:13" x14ac:dyDescent="0.3">
      <c r="A183" s="21">
        <v>2014</v>
      </c>
      <c r="B183" s="12"/>
      <c r="C183" s="12"/>
      <c r="D183" s="12" t="s">
        <v>318</v>
      </c>
      <c r="E183" s="12">
        <v>240</v>
      </c>
      <c r="F183" s="13">
        <f t="shared" si="42"/>
        <v>11.560979780087752</v>
      </c>
      <c r="G183" s="12">
        <f t="shared" si="41"/>
        <v>3.1029669729755529</v>
      </c>
      <c r="H183" s="12">
        <f t="shared" si="43"/>
        <v>-5.19326496309791E-2</v>
      </c>
      <c r="I183" s="12">
        <v>19.5</v>
      </c>
      <c r="J183" s="12">
        <f t="shared" si="44"/>
        <v>19.117647058823529</v>
      </c>
      <c r="K183" s="12">
        <f t="shared" ref="K183:K191" si="45">GLOCDF(F183,G183,H183,J183)</f>
        <v>0.90830985518967922</v>
      </c>
      <c r="L183" s="10">
        <f t="shared" ref="L183:L191" si="46">-1/LN(K183)</f>
        <v>10.398284624107237</v>
      </c>
      <c r="M183" s="22">
        <v>10</v>
      </c>
    </row>
    <row r="184" spans="1:13" x14ac:dyDescent="0.3">
      <c r="A184" s="21">
        <v>2014</v>
      </c>
      <c r="B184" s="12"/>
      <c r="C184" s="12"/>
      <c r="D184" s="12" t="s">
        <v>318</v>
      </c>
      <c r="E184" s="12">
        <v>240</v>
      </c>
      <c r="F184" s="13">
        <f t="shared" si="42"/>
        <v>11.560979780087752</v>
      </c>
      <c r="G184" s="12">
        <f t="shared" si="41"/>
        <v>3.1029669729755529</v>
      </c>
      <c r="H184" s="12">
        <f t="shared" si="43"/>
        <v>-5.19326496309791E-2</v>
      </c>
      <c r="I184" s="12">
        <v>22.1</v>
      </c>
      <c r="J184" s="12">
        <f t="shared" si="44"/>
        <v>21.666666666666668</v>
      </c>
      <c r="K184" s="12">
        <f t="shared" si="45"/>
        <v>0.95297680116193562</v>
      </c>
      <c r="L184" s="10">
        <f t="shared" si="46"/>
        <v>20.762085390628005</v>
      </c>
      <c r="M184" s="22">
        <v>20</v>
      </c>
    </row>
    <row r="185" spans="1:13" x14ac:dyDescent="0.3">
      <c r="A185" s="21">
        <v>2014</v>
      </c>
      <c r="B185" s="12"/>
      <c r="C185" s="12"/>
      <c r="D185" s="12" t="s">
        <v>318</v>
      </c>
      <c r="E185" s="12">
        <v>240</v>
      </c>
      <c r="F185" s="13">
        <f t="shared" si="42"/>
        <v>11.560979780087752</v>
      </c>
      <c r="G185" s="12">
        <f t="shared" si="41"/>
        <v>3.1029669729755529</v>
      </c>
      <c r="H185" s="12">
        <f t="shared" si="43"/>
        <v>-5.19326496309791E-2</v>
      </c>
      <c r="I185" s="12">
        <v>22.9</v>
      </c>
      <c r="J185" s="12">
        <f t="shared" si="44"/>
        <v>22.450980392156861</v>
      </c>
      <c r="K185" s="12">
        <f t="shared" si="45"/>
        <v>0.96172535649829949</v>
      </c>
      <c r="L185" s="10">
        <f t="shared" si="46"/>
        <v>25.623705801286107</v>
      </c>
      <c r="M185" s="22">
        <v>25</v>
      </c>
    </row>
    <row r="186" spans="1:13" x14ac:dyDescent="0.3">
      <c r="A186" s="21">
        <v>2014</v>
      </c>
      <c r="B186" s="12"/>
      <c r="C186" s="12"/>
      <c r="D186" s="12" t="s">
        <v>318</v>
      </c>
      <c r="E186" s="12">
        <v>240</v>
      </c>
      <c r="F186" s="13">
        <f t="shared" si="42"/>
        <v>11.560979780087752</v>
      </c>
      <c r="G186" s="12">
        <f t="shared" si="41"/>
        <v>3.1029669729755529</v>
      </c>
      <c r="H186" s="12">
        <f t="shared" si="43"/>
        <v>-5.19326496309791E-2</v>
      </c>
      <c r="I186" s="12">
        <v>25.5</v>
      </c>
      <c r="J186" s="12">
        <f t="shared" si="44"/>
        <v>25</v>
      </c>
      <c r="K186" s="12">
        <f t="shared" si="45"/>
        <v>0.98028639208204338</v>
      </c>
      <c r="L186" s="10">
        <f t="shared" si="46"/>
        <v>50.224722505059916</v>
      </c>
      <c r="M186" s="22">
        <v>50</v>
      </c>
    </row>
    <row r="187" spans="1:13" x14ac:dyDescent="0.3">
      <c r="A187" s="21">
        <v>2014</v>
      </c>
      <c r="B187" s="12"/>
      <c r="C187" s="12"/>
      <c r="D187" s="12" t="s">
        <v>318</v>
      </c>
      <c r="E187" s="12">
        <v>240</v>
      </c>
      <c r="F187" s="13">
        <f t="shared" si="42"/>
        <v>11.560979780087752</v>
      </c>
      <c r="G187" s="12">
        <f t="shared" si="41"/>
        <v>3.1029669729755529</v>
      </c>
      <c r="H187" s="12">
        <f t="shared" si="43"/>
        <v>-5.19326496309791E-2</v>
      </c>
      <c r="I187" s="12">
        <v>28.3</v>
      </c>
      <c r="J187" s="12">
        <f t="shared" si="44"/>
        <v>27.745098039215687</v>
      </c>
      <c r="K187" s="12">
        <f t="shared" si="45"/>
        <v>0.9902002048277041</v>
      </c>
      <c r="L187" s="10">
        <f t="shared" si="46"/>
        <v>101.54212842827943</v>
      </c>
      <c r="M187" s="22">
        <v>100</v>
      </c>
    </row>
    <row r="188" spans="1:13" x14ac:dyDescent="0.3">
      <c r="A188" s="21">
        <v>2014</v>
      </c>
      <c r="B188" s="12"/>
      <c r="C188" s="12"/>
      <c r="D188" s="12" t="s">
        <v>318</v>
      </c>
      <c r="E188" s="12">
        <v>240</v>
      </c>
      <c r="F188" s="13">
        <f t="shared" si="42"/>
        <v>11.560979780087752</v>
      </c>
      <c r="G188" s="12">
        <f t="shared" si="41"/>
        <v>3.1029669729755529</v>
      </c>
      <c r="H188" s="12">
        <f t="shared" si="43"/>
        <v>-5.19326496309791E-2</v>
      </c>
      <c r="I188" s="12">
        <v>31.3</v>
      </c>
      <c r="J188" s="12">
        <f t="shared" si="44"/>
        <v>30.686274509803923</v>
      </c>
      <c r="K188" s="12">
        <f t="shared" si="45"/>
        <v>0.99526158038384249</v>
      </c>
      <c r="L188" s="10">
        <f t="shared" si="46"/>
        <v>210.54043236106517</v>
      </c>
      <c r="M188" s="22">
        <v>200</v>
      </c>
    </row>
    <row r="189" spans="1:13" x14ac:dyDescent="0.3">
      <c r="A189" s="21">
        <v>2014</v>
      </c>
      <c r="B189" s="12"/>
      <c r="C189" s="12"/>
      <c r="D189" s="12" t="s">
        <v>318</v>
      </c>
      <c r="E189" s="12">
        <v>240</v>
      </c>
      <c r="F189" s="13">
        <f t="shared" si="42"/>
        <v>11.560979780087752</v>
      </c>
      <c r="G189" s="12">
        <f t="shared" si="41"/>
        <v>3.1029669729755529</v>
      </c>
      <c r="H189" s="12">
        <f t="shared" si="43"/>
        <v>-5.19326496309791E-2</v>
      </c>
      <c r="I189" s="12">
        <v>32</v>
      </c>
      <c r="J189" s="12">
        <f t="shared" si="44"/>
        <v>31.372549019607842</v>
      </c>
      <c r="K189" s="12">
        <f t="shared" si="45"/>
        <v>0.99598668703297843</v>
      </c>
      <c r="L189" s="10">
        <f t="shared" si="46"/>
        <v>248.6703645575582</v>
      </c>
      <c r="M189" s="22">
        <v>250</v>
      </c>
    </row>
    <row r="190" spans="1:13" x14ac:dyDescent="0.3">
      <c r="A190" s="21">
        <v>2014</v>
      </c>
      <c r="B190" s="12"/>
      <c r="C190" s="12"/>
      <c r="D190" s="12" t="s">
        <v>318</v>
      </c>
      <c r="E190" s="12">
        <v>240</v>
      </c>
      <c r="F190" s="13">
        <f t="shared" si="42"/>
        <v>11.560979780087752</v>
      </c>
      <c r="G190" s="12">
        <f t="shared" si="41"/>
        <v>3.1029669729755529</v>
      </c>
      <c r="H190" s="12">
        <f t="shared" si="43"/>
        <v>-5.19326496309791E-2</v>
      </c>
      <c r="I190" s="12">
        <v>35</v>
      </c>
      <c r="J190" s="12">
        <f t="shared" si="44"/>
        <v>34.313725490196077</v>
      </c>
      <c r="K190" s="12">
        <f t="shared" si="45"/>
        <v>0.99800100187001284</v>
      </c>
      <c r="L190" s="10">
        <f t="shared" si="46"/>
        <v>499.75042628414434</v>
      </c>
      <c r="M190" s="22">
        <v>500</v>
      </c>
    </row>
    <row r="191" spans="1:13" x14ac:dyDescent="0.3">
      <c r="A191" s="23">
        <v>2014</v>
      </c>
      <c r="B191" s="14"/>
      <c r="C191" s="14"/>
      <c r="D191" s="14" t="s">
        <v>318</v>
      </c>
      <c r="E191" s="14">
        <v>240</v>
      </c>
      <c r="F191" s="15">
        <f t="shared" si="42"/>
        <v>11.560979780087752</v>
      </c>
      <c r="G191" s="14">
        <f>IF(E191&lt;=91,F191*(0.41692-0.07583*LOG10(E191)),F191*0.2684)</f>
        <v>3.1029669729755529</v>
      </c>
      <c r="H191" s="14">
        <f t="shared" si="43"/>
        <v>-5.19326496309791E-2</v>
      </c>
      <c r="I191" s="14">
        <v>38.1</v>
      </c>
      <c r="J191" s="14">
        <f t="shared" si="44"/>
        <v>37.352941176470587</v>
      </c>
      <c r="K191" s="14">
        <f t="shared" si="45"/>
        <v>0.99900293165295728</v>
      </c>
      <c r="L191" s="10">
        <f t="shared" si="46"/>
        <v>1002.440189686303</v>
      </c>
      <c r="M191" s="24">
        <v>1000</v>
      </c>
    </row>
    <row r="192" spans="1:13" x14ac:dyDescent="0.3">
      <c r="A192" s="17">
        <v>2014</v>
      </c>
      <c r="B192" s="18"/>
      <c r="C192" s="18"/>
      <c r="D192" s="18" t="s">
        <v>318</v>
      </c>
      <c r="E192" s="18">
        <v>480</v>
      </c>
      <c r="F192" s="19">
        <f>4.883-5.587*LOG10(E192) + 3.526 *LOG10(E192)^2</f>
        <v>15.251511631192475</v>
      </c>
      <c r="G192" s="18">
        <f t="shared" ref="G192:G203" si="47">IF(E192&lt;=91,F192*(0.41692-0.07583*LOG10(E192)),F192*0.2684)</f>
        <v>4.0935057218120603</v>
      </c>
      <c r="H192" s="18">
        <f>-0.294 +0.1474 *LOG10(E192) - 0.0192 *LOG10(E192)^2</f>
        <v>-3.6814889412503132E-2</v>
      </c>
      <c r="I192" s="18">
        <v>12.7</v>
      </c>
      <c r="J192" s="18">
        <f>I192/1.02</f>
        <v>12.450980392156861</v>
      </c>
      <c r="K192" s="18">
        <f>GLOCDF(F192,G192,H192,J192)</f>
        <v>0.33338758211270858</v>
      </c>
      <c r="L192" s="9">
        <f>-1/LN(K192)</f>
        <v>0.91037407674083803</v>
      </c>
      <c r="M192" s="20">
        <v>0.5</v>
      </c>
    </row>
    <row r="193" spans="1:15" x14ac:dyDescent="0.3">
      <c r="A193" s="21">
        <v>2014</v>
      </c>
      <c r="B193" s="12"/>
      <c r="C193" s="12"/>
      <c r="D193" s="12" t="s">
        <v>318</v>
      </c>
      <c r="E193" s="12">
        <v>480</v>
      </c>
      <c r="F193" s="13">
        <f t="shared" ref="F193:F204" si="48">4.883-5.587*LOG10(E193) + 3.526 *LOG10(E193)^2</f>
        <v>15.251511631192475</v>
      </c>
      <c r="G193" s="12">
        <f t="shared" si="47"/>
        <v>4.0935057218120603</v>
      </c>
      <c r="H193" s="12">
        <f t="shared" ref="H193:H204" si="49">-0.294 +0.1474 *LOG10(E193) - 0.0192 *LOG10(E193)^2</f>
        <v>-3.6814889412503132E-2</v>
      </c>
      <c r="I193" s="12">
        <v>15.6</v>
      </c>
      <c r="J193" s="12">
        <f t="shared" ref="J193:J204" si="50">I193/1.02</f>
        <v>15.294117647058822</v>
      </c>
      <c r="K193" s="12">
        <f>GLOCDF(F193,G193,H193,J193)</f>
        <v>0.50260152749428655</v>
      </c>
      <c r="L193" s="10">
        <f>-1/LN(K193)</f>
        <v>1.4535779220163814</v>
      </c>
      <c r="M193" s="22">
        <v>1</v>
      </c>
    </row>
    <row r="194" spans="1:15" x14ac:dyDescent="0.3">
      <c r="A194" s="21">
        <v>2014</v>
      </c>
      <c r="B194" s="12"/>
      <c r="C194" s="12"/>
      <c r="D194" s="12" t="s">
        <v>318</v>
      </c>
      <c r="E194" s="12">
        <v>480</v>
      </c>
      <c r="F194" s="13">
        <f t="shared" si="48"/>
        <v>15.251511631192475</v>
      </c>
      <c r="G194" s="12">
        <f t="shared" si="47"/>
        <v>4.0935057218120603</v>
      </c>
      <c r="H194" s="12">
        <f t="shared" si="49"/>
        <v>-3.6814889412503132E-2</v>
      </c>
      <c r="I194" s="12">
        <v>18.5</v>
      </c>
      <c r="J194" s="12">
        <f t="shared" si="50"/>
        <v>18.137254901960784</v>
      </c>
      <c r="K194" s="12">
        <f>GLOCDF(F194,G194,H194,J194)</f>
        <v>0.66729230557367181</v>
      </c>
      <c r="L194" s="10">
        <f>-1/LN(K194)</f>
        <v>2.4720223321362638</v>
      </c>
      <c r="M194" s="22">
        <v>2</v>
      </c>
    </row>
    <row r="195" spans="1:15" x14ac:dyDescent="0.3">
      <c r="A195" s="21">
        <v>2014</v>
      </c>
      <c r="B195" s="12"/>
      <c r="C195" s="12"/>
      <c r="D195" s="12" t="s">
        <v>318</v>
      </c>
      <c r="E195" s="12">
        <v>480</v>
      </c>
      <c r="F195" s="13">
        <f t="shared" si="48"/>
        <v>15.251511631192475</v>
      </c>
      <c r="G195" s="12">
        <f t="shared" si="47"/>
        <v>4.0935057218120603</v>
      </c>
      <c r="H195" s="12">
        <f t="shared" si="49"/>
        <v>-3.6814889412503132E-2</v>
      </c>
      <c r="I195" s="12">
        <v>22.5</v>
      </c>
      <c r="J195" s="12">
        <f t="shared" si="50"/>
        <v>22.058823529411764</v>
      </c>
      <c r="K195" s="12">
        <f>GLOCDF(F195,G195,H195,J195)</f>
        <v>0.83397104341572459</v>
      </c>
      <c r="L195" s="10">
        <f>-1/LN(K195)</f>
        <v>5.5079243309772803</v>
      </c>
      <c r="M195" s="22">
        <v>5</v>
      </c>
    </row>
    <row r="196" spans="1:15" x14ac:dyDescent="0.3">
      <c r="A196" s="21">
        <v>2014</v>
      </c>
      <c r="B196" s="12"/>
      <c r="C196" s="12"/>
      <c r="D196" s="12" t="s">
        <v>318</v>
      </c>
      <c r="E196" s="12">
        <v>480</v>
      </c>
      <c r="F196" s="13">
        <f t="shared" si="48"/>
        <v>15.251511631192475</v>
      </c>
      <c r="G196" s="12">
        <f t="shared" si="47"/>
        <v>4.0935057218120603</v>
      </c>
      <c r="H196" s="12">
        <f t="shared" si="49"/>
        <v>-3.6814889412503132E-2</v>
      </c>
      <c r="I196" s="12">
        <v>25.6</v>
      </c>
      <c r="J196" s="12">
        <f t="shared" si="50"/>
        <v>25.098039215686274</v>
      </c>
      <c r="K196" s="12">
        <f t="shared" ref="K196:K204" si="51">GLOCDF(F196,G196,H196,J196)</f>
        <v>0.90927338581274697</v>
      </c>
      <c r="L196" s="10">
        <f t="shared" ref="L196:L204" si="52">-1/LN(K196)</f>
        <v>10.514199496824963</v>
      </c>
      <c r="M196" s="22">
        <v>10</v>
      </c>
    </row>
    <row r="197" spans="1:15" x14ac:dyDescent="0.3">
      <c r="A197" s="21">
        <v>2014</v>
      </c>
      <c r="B197" s="12"/>
      <c r="C197" s="12"/>
      <c r="D197" s="12" t="s">
        <v>318</v>
      </c>
      <c r="E197" s="12">
        <v>480</v>
      </c>
      <c r="F197" s="13">
        <f t="shared" si="48"/>
        <v>15.251511631192475</v>
      </c>
      <c r="G197" s="12">
        <f t="shared" si="47"/>
        <v>4.0935057218120603</v>
      </c>
      <c r="H197" s="12">
        <f t="shared" si="49"/>
        <v>-3.6814889412503132E-2</v>
      </c>
      <c r="I197" s="12">
        <v>28.8</v>
      </c>
      <c r="J197" s="12">
        <f t="shared" si="50"/>
        <v>28.235294117647058</v>
      </c>
      <c r="K197" s="12">
        <f t="shared" si="51"/>
        <v>0.95256854597855378</v>
      </c>
      <c r="L197" s="10">
        <f t="shared" si="52"/>
        <v>20.579006697851113</v>
      </c>
      <c r="M197" s="22">
        <v>20</v>
      </c>
    </row>
    <row r="198" spans="1:15" x14ac:dyDescent="0.3">
      <c r="A198" s="21">
        <v>2014</v>
      </c>
      <c r="B198" s="12"/>
      <c r="C198" s="12"/>
      <c r="D198" s="12" t="s">
        <v>318</v>
      </c>
      <c r="E198" s="12">
        <v>480</v>
      </c>
      <c r="F198" s="13">
        <f t="shared" si="48"/>
        <v>15.251511631192475</v>
      </c>
      <c r="G198" s="12">
        <f t="shared" si="47"/>
        <v>4.0935057218120603</v>
      </c>
      <c r="H198" s="12">
        <f t="shared" si="49"/>
        <v>-3.6814889412503132E-2</v>
      </c>
      <c r="I198" s="12">
        <v>29.8</v>
      </c>
      <c r="J198" s="12">
        <f t="shared" si="50"/>
        <v>29.215686274509803</v>
      </c>
      <c r="K198" s="12">
        <f t="shared" si="51"/>
        <v>0.96133884660743318</v>
      </c>
      <c r="L198" s="10">
        <f t="shared" si="52"/>
        <v>25.362471416685732</v>
      </c>
      <c r="M198" s="22">
        <v>25</v>
      </c>
    </row>
    <row r="199" spans="1:15" x14ac:dyDescent="0.3">
      <c r="A199" s="21">
        <v>2014</v>
      </c>
      <c r="B199" s="12"/>
      <c r="C199" s="12"/>
      <c r="D199" s="12" t="s">
        <v>318</v>
      </c>
      <c r="E199" s="12">
        <v>480</v>
      </c>
      <c r="F199" s="13">
        <f t="shared" si="48"/>
        <v>15.251511631192475</v>
      </c>
      <c r="G199" s="12">
        <f t="shared" si="47"/>
        <v>4.0935057218120603</v>
      </c>
      <c r="H199" s="12">
        <f t="shared" si="49"/>
        <v>-3.6814889412503132E-2</v>
      </c>
      <c r="I199" s="12">
        <v>33.1</v>
      </c>
      <c r="J199" s="12">
        <f t="shared" si="50"/>
        <v>32.450980392156865</v>
      </c>
      <c r="K199" s="12">
        <f t="shared" si="51"/>
        <v>0.98029024415970833</v>
      </c>
      <c r="L199" s="10">
        <f t="shared" si="52"/>
        <v>50.234636804233475</v>
      </c>
      <c r="M199" s="22">
        <v>50</v>
      </c>
    </row>
    <row r="200" spans="1:15" x14ac:dyDescent="0.3">
      <c r="A200" s="21">
        <v>2014</v>
      </c>
      <c r="B200" s="12"/>
      <c r="C200" s="12"/>
      <c r="D200" s="12" t="s">
        <v>318</v>
      </c>
      <c r="E200" s="12">
        <v>480</v>
      </c>
      <c r="F200" s="13">
        <f t="shared" si="48"/>
        <v>15.251511631192475</v>
      </c>
      <c r="G200" s="12">
        <f t="shared" si="47"/>
        <v>4.0935057218120603</v>
      </c>
      <c r="H200" s="12">
        <f t="shared" si="49"/>
        <v>-3.6814889412503132E-2</v>
      </c>
      <c r="I200" s="12">
        <v>36.5</v>
      </c>
      <c r="J200" s="28">
        <f t="shared" si="50"/>
        <v>35.784313725490193</v>
      </c>
      <c r="K200" s="12">
        <f t="shared" si="51"/>
        <v>0.99007721391877757</v>
      </c>
      <c r="L200" s="10">
        <f t="shared" si="52"/>
        <v>100.27731654272742</v>
      </c>
      <c r="M200" s="22">
        <v>100</v>
      </c>
      <c r="O200" s="27"/>
    </row>
    <row r="201" spans="1:15" x14ac:dyDescent="0.3">
      <c r="A201" s="21">
        <v>2014</v>
      </c>
      <c r="B201" s="12"/>
      <c r="C201" s="12"/>
      <c r="D201" s="12" t="s">
        <v>318</v>
      </c>
      <c r="E201" s="12">
        <v>480</v>
      </c>
      <c r="F201" s="13">
        <f t="shared" si="48"/>
        <v>15.251511631192475</v>
      </c>
      <c r="G201" s="12">
        <f t="shared" si="47"/>
        <v>4.0935057218120603</v>
      </c>
      <c r="H201" s="12">
        <f t="shared" si="49"/>
        <v>-3.6814889412503132E-2</v>
      </c>
      <c r="I201" s="12">
        <v>40</v>
      </c>
      <c r="J201" s="12">
        <f t="shared" si="50"/>
        <v>39.215686274509807</v>
      </c>
      <c r="K201" s="12">
        <f t="shared" si="51"/>
        <v>0.99504047947120178</v>
      </c>
      <c r="L201" s="10">
        <f t="shared" si="52"/>
        <v>201.13198022016232</v>
      </c>
      <c r="M201" s="22">
        <v>200</v>
      </c>
    </row>
    <row r="202" spans="1:15" x14ac:dyDescent="0.3">
      <c r="A202" s="21">
        <v>2014</v>
      </c>
      <c r="B202" s="12"/>
      <c r="C202" s="12"/>
      <c r="D202" s="12" t="s">
        <v>318</v>
      </c>
      <c r="E202" s="12">
        <v>480</v>
      </c>
      <c r="F202" s="13">
        <f t="shared" si="48"/>
        <v>15.251511631192475</v>
      </c>
      <c r="G202" s="12">
        <f t="shared" si="47"/>
        <v>4.0935057218120603</v>
      </c>
      <c r="H202" s="12">
        <f t="shared" si="49"/>
        <v>-3.6814889412503132E-2</v>
      </c>
      <c r="I202" s="12">
        <v>41.1</v>
      </c>
      <c r="J202" s="12">
        <f t="shared" si="50"/>
        <v>40.294117647058826</v>
      </c>
      <c r="K202" s="12">
        <f t="shared" si="51"/>
        <v>0.99599959774760771</v>
      </c>
      <c r="L202" s="10">
        <f t="shared" si="52"/>
        <v>249.47452771811263</v>
      </c>
      <c r="M202" s="22">
        <v>250</v>
      </c>
    </row>
    <row r="203" spans="1:15" x14ac:dyDescent="0.3">
      <c r="A203" s="21">
        <v>2014</v>
      </c>
      <c r="B203" s="12"/>
      <c r="C203" s="12"/>
      <c r="D203" s="12" t="s">
        <v>318</v>
      </c>
      <c r="E203" s="12">
        <v>480</v>
      </c>
      <c r="F203" s="13">
        <f t="shared" si="48"/>
        <v>15.251511631192475</v>
      </c>
      <c r="G203" s="12">
        <f t="shared" si="47"/>
        <v>4.0935057218120603</v>
      </c>
      <c r="H203" s="12">
        <f t="shared" si="49"/>
        <v>-3.6814889412503132E-2</v>
      </c>
      <c r="I203" s="12">
        <v>44.7</v>
      </c>
      <c r="J203" s="12">
        <f t="shared" si="50"/>
        <v>43.82352941176471</v>
      </c>
      <c r="K203" s="12">
        <f t="shared" si="51"/>
        <v>0.99799898816718458</v>
      </c>
      <c r="L203" s="10">
        <f t="shared" si="52"/>
        <v>499.24700278910416</v>
      </c>
      <c r="M203" s="22">
        <v>500</v>
      </c>
    </row>
    <row r="204" spans="1:15" x14ac:dyDescent="0.3">
      <c r="A204" s="23">
        <v>2014</v>
      </c>
      <c r="B204" s="14"/>
      <c r="C204" s="14"/>
      <c r="D204" s="14" t="s">
        <v>318</v>
      </c>
      <c r="E204" s="14">
        <v>480</v>
      </c>
      <c r="F204" s="15">
        <f t="shared" si="48"/>
        <v>15.251511631192475</v>
      </c>
      <c r="G204" s="14">
        <f>IF(E204&lt;=91,F204*(0.41692-0.07583*LOG10(E204)),F204*0.2684)</f>
        <v>4.0935057218120603</v>
      </c>
      <c r="H204" s="14">
        <f t="shared" si="49"/>
        <v>-3.6814889412503132E-2</v>
      </c>
      <c r="I204" s="14">
        <v>48.4</v>
      </c>
      <c r="J204" s="14">
        <f t="shared" si="50"/>
        <v>47.450980392156858</v>
      </c>
      <c r="K204" s="14">
        <f t="shared" si="51"/>
        <v>0.99900134047158673</v>
      </c>
      <c r="L204" s="10">
        <f t="shared" si="52"/>
        <v>1000.8421875994741</v>
      </c>
      <c r="M204" s="24">
        <v>1000</v>
      </c>
    </row>
    <row r="205" spans="1:15" x14ac:dyDescent="0.3">
      <c r="A205" s="17">
        <v>2014</v>
      </c>
      <c r="B205" s="18"/>
      <c r="C205" s="18"/>
      <c r="D205" s="18" t="s">
        <v>318</v>
      </c>
      <c r="E205" s="18">
        <v>720</v>
      </c>
      <c r="F205" s="19">
        <f>4.883-5.587*LOG10(E205) + 3.526 *LOG10(E205)^2</f>
        <v>17.706577899380228</v>
      </c>
      <c r="G205" s="18">
        <f t="shared" ref="G205:G216" si="53">IF(E205&lt;=91,F205*(0.41692-0.07583*LOG10(E205)),F205*0.2684)</f>
        <v>4.7524455081936541</v>
      </c>
      <c r="H205" s="18">
        <f>-0.294 +0.1474 *LOG10(E205) - 0.0192 *LOG10(E205)^2</f>
        <v>-2.9584690733144153E-2</v>
      </c>
      <c r="I205" s="18">
        <v>14.7</v>
      </c>
      <c r="J205" s="18">
        <f>I205/1.02</f>
        <v>14.411764705882351</v>
      </c>
      <c r="K205" s="18">
        <f>GLOCDF(F205,G205,H205,J205)</f>
        <v>0.33170213402620413</v>
      </c>
      <c r="L205" s="9">
        <f>-1/LN(K205)</f>
        <v>0.90619282251925914</v>
      </c>
      <c r="M205" s="20">
        <v>0.5</v>
      </c>
    </row>
    <row r="206" spans="1:15" x14ac:dyDescent="0.3">
      <c r="A206" s="21">
        <v>2014</v>
      </c>
      <c r="B206" s="12"/>
      <c r="C206" s="12"/>
      <c r="D206" s="12" t="s">
        <v>318</v>
      </c>
      <c r="E206" s="12">
        <v>720</v>
      </c>
      <c r="F206" s="13">
        <f t="shared" ref="F206:F217" si="54">4.883-5.587*LOG10(E206) + 3.526 *LOG10(E206)^2</f>
        <v>17.706577899380228</v>
      </c>
      <c r="G206" s="12">
        <f t="shared" si="53"/>
        <v>4.7524455081936541</v>
      </c>
      <c r="H206" s="12">
        <f t="shared" ref="H206:H217" si="55">-0.294 +0.1474 *LOG10(E206) - 0.0192 *LOG10(E206)^2</f>
        <v>-2.9584690733144153E-2</v>
      </c>
      <c r="I206" s="12">
        <v>18.100000000000001</v>
      </c>
      <c r="J206" s="12">
        <f t="shared" ref="J206:J217" si="56">I206/1.02</f>
        <v>17.745098039215687</v>
      </c>
      <c r="K206" s="12">
        <f>GLOCDF(F206,G206,H206,J206)</f>
        <v>0.50202607853447045</v>
      </c>
      <c r="L206" s="10">
        <f>-1/LN(K206)</f>
        <v>1.451161427640133</v>
      </c>
      <c r="M206" s="22">
        <v>1</v>
      </c>
    </row>
    <row r="207" spans="1:15" x14ac:dyDescent="0.3">
      <c r="A207" s="21">
        <v>2014</v>
      </c>
      <c r="B207" s="12"/>
      <c r="C207" s="12"/>
      <c r="D207" s="12" t="s">
        <v>318</v>
      </c>
      <c r="E207" s="12">
        <v>720</v>
      </c>
      <c r="F207" s="13">
        <f t="shared" si="54"/>
        <v>17.706577899380228</v>
      </c>
      <c r="G207" s="12">
        <f t="shared" si="53"/>
        <v>4.7524455081936541</v>
      </c>
      <c r="H207" s="12">
        <f t="shared" si="55"/>
        <v>-2.9584690733144153E-2</v>
      </c>
      <c r="I207" s="12">
        <v>21.5</v>
      </c>
      <c r="J207" s="12">
        <f t="shared" si="56"/>
        <v>21.078431372549019</v>
      </c>
      <c r="K207" s="12">
        <f>GLOCDF(F207,G207,H207,J207)</f>
        <v>0.6686653682945588</v>
      </c>
      <c r="L207" s="10">
        <f>-1/LN(K207)</f>
        <v>2.484647729017603</v>
      </c>
      <c r="M207" s="22">
        <v>2</v>
      </c>
    </row>
    <row r="208" spans="1:15" x14ac:dyDescent="0.3">
      <c r="A208" s="21">
        <v>2014</v>
      </c>
      <c r="B208" s="12"/>
      <c r="C208" s="12"/>
      <c r="D208" s="12" t="s">
        <v>318</v>
      </c>
      <c r="E208" s="12">
        <v>720</v>
      </c>
      <c r="F208" s="13">
        <f t="shared" si="54"/>
        <v>17.706577899380228</v>
      </c>
      <c r="G208" s="12">
        <f t="shared" si="53"/>
        <v>4.7524455081936541</v>
      </c>
      <c r="H208" s="12">
        <f t="shared" si="55"/>
        <v>-2.9584690733144153E-2</v>
      </c>
      <c r="I208" s="12">
        <v>26.1</v>
      </c>
      <c r="J208" s="12">
        <f t="shared" si="56"/>
        <v>25.588235294117649</v>
      </c>
      <c r="K208" s="12">
        <f>GLOCDF(F208,G208,H208,J208)</f>
        <v>0.83466280235065848</v>
      </c>
      <c r="L208" s="10">
        <f>-1/LN(K208)</f>
        <v>5.5331933019915818</v>
      </c>
      <c r="M208" s="22">
        <v>5</v>
      </c>
    </row>
    <row r="209" spans="1:13" x14ac:dyDescent="0.3">
      <c r="A209" s="21">
        <v>2014</v>
      </c>
      <c r="B209" s="12"/>
      <c r="C209" s="12"/>
      <c r="D209" s="12" t="s">
        <v>318</v>
      </c>
      <c r="E209" s="12">
        <v>720</v>
      </c>
      <c r="F209" s="13">
        <f t="shared" si="54"/>
        <v>17.706577899380228</v>
      </c>
      <c r="G209" s="12">
        <f t="shared" si="53"/>
        <v>4.7524455081936541</v>
      </c>
      <c r="H209" s="12">
        <f t="shared" si="55"/>
        <v>-2.9584690733144153E-2</v>
      </c>
      <c r="I209" s="12">
        <v>29.6</v>
      </c>
      <c r="J209" s="12">
        <f t="shared" si="56"/>
        <v>29.019607843137255</v>
      </c>
      <c r="K209" s="12">
        <f t="shared" ref="K209:K217" si="57">GLOCDF(F209,G209,H209,J209)</f>
        <v>0.90890859859029516</v>
      </c>
      <c r="L209" s="10">
        <f t="shared" ref="L209:L217" si="58">-1/LN(K209)</f>
        <v>10.470026560881163</v>
      </c>
      <c r="M209" s="22">
        <v>10</v>
      </c>
    </row>
    <row r="210" spans="1:13" x14ac:dyDescent="0.3">
      <c r="A210" s="21">
        <v>2014</v>
      </c>
      <c r="B210" s="12"/>
      <c r="C210" s="12"/>
      <c r="D210" s="12" t="s">
        <v>318</v>
      </c>
      <c r="E210" s="12">
        <v>720</v>
      </c>
      <c r="F210" s="13">
        <f t="shared" si="54"/>
        <v>17.706577899380228</v>
      </c>
      <c r="G210" s="12">
        <f t="shared" si="53"/>
        <v>4.7524455081936541</v>
      </c>
      <c r="H210" s="12">
        <f t="shared" si="55"/>
        <v>-2.9584690733144153E-2</v>
      </c>
      <c r="I210" s="12">
        <v>33.200000000000003</v>
      </c>
      <c r="J210" s="12">
        <f t="shared" si="56"/>
        <v>32.549019607843142</v>
      </c>
      <c r="K210" s="12">
        <f t="shared" si="57"/>
        <v>0.95199013108726926</v>
      </c>
      <c r="L210" s="10">
        <f t="shared" si="58"/>
        <v>20.32495094607539</v>
      </c>
      <c r="M210" s="22">
        <v>20</v>
      </c>
    </row>
    <row r="211" spans="1:13" x14ac:dyDescent="0.3">
      <c r="A211" s="21">
        <v>2014</v>
      </c>
      <c r="B211" s="12"/>
      <c r="C211" s="12"/>
      <c r="D211" s="12" t="s">
        <v>318</v>
      </c>
      <c r="E211" s="12">
        <v>720</v>
      </c>
      <c r="F211" s="13">
        <f t="shared" si="54"/>
        <v>17.706577899380228</v>
      </c>
      <c r="G211" s="12">
        <f t="shared" si="53"/>
        <v>4.7524455081936541</v>
      </c>
      <c r="H211" s="12">
        <f t="shared" si="55"/>
        <v>-2.9584690733144153E-2</v>
      </c>
      <c r="I211" s="12">
        <v>34.4</v>
      </c>
      <c r="J211" s="12">
        <f t="shared" si="56"/>
        <v>33.725490196078432</v>
      </c>
      <c r="K211" s="12">
        <f t="shared" si="57"/>
        <v>0.96132072662043067</v>
      </c>
      <c r="L211" s="10">
        <f t="shared" si="58"/>
        <v>25.350352576528863</v>
      </c>
      <c r="M211" s="22">
        <v>25</v>
      </c>
    </row>
    <row r="212" spans="1:13" x14ac:dyDescent="0.3">
      <c r="A212" s="21">
        <v>2014</v>
      </c>
      <c r="B212" s="12"/>
      <c r="C212" s="12"/>
      <c r="D212" s="12" t="s">
        <v>318</v>
      </c>
      <c r="E212" s="12">
        <v>720</v>
      </c>
      <c r="F212" s="13">
        <f t="shared" si="54"/>
        <v>17.706577899380228</v>
      </c>
      <c r="G212" s="12">
        <f t="shared" si="53"/>
        <v>4.7524455081936541</v>
      </c>
      <c r="H212" s="12">
        <f t="shared" si="55"/>
        <v>-2.9584690733144153E-2</v>
      </c>
      <c r="I212" s="12">
        <v>38.200000000000003</v>
      </c>
      <c r="J212" s="12">
        <f t="shared" si="56"/>
        <v>37.450980392156865</v>
      </c>
      <c r="K212" s="12">
        <f t="shared" si="57"/>
        <v>0.98051472954033236</v>
      </c>
      <c r="L212" s="10">
        <f t="shared" si="58"/>
        <v>50.819177237580263</v>
      </c>
      <c r="M212" s="22">
        <v>50</v>
      </c>
    </row>
    <row r="213" spans="1:13" x14ac:dyDescent="0.3">
      <c r="A213" s="21">
        <v>2014</v>
      </c>
      <c r="B213" s="12"/>
      <c r="C213" s="12"/>
      <c r="D213" s="12" t="s">
        <v>318</v>
      </c>
      <c r="E213" s="12">
        <v>720</v>
      </c>
      <c r="F213" s="13">
        <f t="shared" si="54"/>
        <v>17.706577899380228</v>
      </c>
      <c r="G213" s="12">
        <f t="shared" si="53"/>
        <v>4.7524455081936541</v>
      </c>
      <c r="H213" s="12">
        <f t="shared" si="55"/>
        <v>-2.9584690733144153E-2</v>
      </c>
      <c r="I213" s="12">
        <v>42</v>
      </c>
      <c r="J213" s="12">
        <f t="shared" si="56"/>
        <v>41.17647058823529</v>
      </c>
      <c r="K213" s="12">
        <f t="shared" si="57"/>
        <v>0.99014050887849092</v>
      </c>
      <c r="L213" s="10">
        <f t="shared" si="58"/>
        <v>100.92428718611687</v>
      </c>
      <c r="M213" s="22">
        <v>100</v>
      </c>
    </row>
    <row r="214" spans="1:13" x14ac:dyDescent="0.3">
      <c r="A214" s="21">
        <v>2014</v>
      </c>
      <c r="B214" s="12"/>
      <c r="C214" s="12"/>
      <c r="D214" s="12" t="s">
        <v>318</v>
      </c>
      <c r="E214" s="12">
        <v>720</v>
      </c>
      <c r="F214" s="13">
        <f t="shared" si="54"/>
        <v>17.706577899380228</v>
      </c>
      <c r="G214" s="12">
        <f t="shared" si="53"/>
        <v>4.7524455081936541</v>
      </c>
      <c r="H214" s="12">
        <f t="shared" si="55"/>
        <v>-2.9584690733144153E-2</v>
      </c>
      <c r="I214" s="12">
        <v>45.9</v>
      </c>
      <c r="J214" s="12">
        <f t="shared" si="56"/>
        <v>45</v>
      </c>
      <c r="K214" s="12">
        <f t="shared" si="57"/>
        <v>0.99505391345728478</v>
      </c>
      <c r="L214" s="10">
        <f t="shared" si="58"/>
        <v>201.67963184806115</v>
      </c>
      <c r="M214" s="22">
        <v>200</v>
      </c>
    </row>
    <row r="215" spans="1:13" x14ac:dyDescent="0.3">
      <c r="A215" s="21">
        <v>2014</v>
      </c>
      <c r="B215" s="12"/>
      <c r="C215" s="12"/>
      <c r="D215" s="12" t="s">
        <v>318</v>
      </c>
      <c r="E215" s="12">
        <v>720</v>
      </c>
      <c r="F215" s="13">
        <f t="shared" si="54"/>
        <v>17.706577899380228</v>
      </c>
      <c r="G215" s="12">
        <f t="shared" si="53"/>
        <v>4.7524455081936541</v>
      </c>
      <c r="H215" s="12">
        <f t="shared" si="55"/>
        <v>-2.9584690733144153E-2</v>
      </c>
      <c r="I215" s="12">
        <v>47.1</v>
      </c>
      <c r="J215" s="12">
        <f t="shared" si="56"/>
        <v>46.176470588235297</v>
      </c>
      <c r="K215" s="12">
        <f t="shared" si="57"/>
        <v>0.99599077258119695</v>
      </c>
      <c r="L215" s="10">
        <f t="shared" si="58"/>
        <v>248.92427888376181</v>
      </c>
      <c r="M215" s="22">
        <v>250</v>
      </c>
    </row>
    <row r="216" spans="1:13" x14ac:dyDescent="0.3">
      <c r="A216" s="21">
        <v>2014</v>
      </c>
      <c r="B216" s="12"/>
      <c r="C216" s="12"/>
      <c r="D216" s="12" t="s">
        <v>318</v>
      </c>
      <c r="E216" s="12">
        <v>720</v>
      </c>
      <c r="F216" s="13">
        <f t="shared" si="54"/>
        <v>17.706577899380228</v>
      </c>
      <c r="G216" s="12">
        <f t="shared" si="53"/>
        <v>4.7524455081936541</v>
      </c>
      <c r="H216" s="12">
        <f t="shared" si="55"/>
        <v>-2.9584690733144153E-2</v>
      </c>
      <c r="I216" s="12">
        <v>51.1</v>
      </c>
      <c r="J216" s="12">
        <f t="shared" si="56"/>
        <v>50.098039215686278</v>
      </c>
      <c r="K216" s="12">
        <f t="shared" si="57"/>
        <v>0.99799261261875205</v>
      </c>
      <c r="L216" s="10">
        <f t="shared" si="58"/>
        <v>497.65978380840005</v>
      </c>
      <c r="M216" s="22">
        <v>500</v>
      </c>
    </row>
    <row r="217" spans="1:13" x14ac:dyDescent="0.3">
      <c r="A217" s="23">
        <v>2014</v>
      </c>
      <c r="B217" s="14"/>
      <c r="C217" s="14"/>
      <c r="D217" s="14" t="s">
        <v>318</v>
      </c>
      <c r="E217" s="14">
        <v>720</v>
      </c>
      <c r="F217" s="15">
        <f t="shared" si="54"/>
        <v>17.706577899380228</v>
      </c>
      <c r="G217" s="14">
        <f>IF(E217&lt;=91,F217*(0.41692-0.07583*LOG10(E217)),F217*0.2684)</f>
        <v>4.7524455081936541</v>
      </c>
      <c r="H217" s="14">
        <f t="shared" si="55"/>
        <v>-2.9584690733144153E-2</v>
      </c>
      <c r="I217" s="14">
        <v>55.2</v>
      </c>
      <c r="J217" s="14">
        <f t="shared" si="56"/>
        <v>54.117647058823529</v>
      </c>
      <c r="K217" s="14">
        <f t="shared" si="57"/>
        <v>0.998998797609983</v>
      </c>
      <c r="L217" s="10">
        <f t="shared" si="58"/>
        <v>998.29897051317164</v>
      </c>
      <c r="M217" s="24">
        <v>1000</v>
      </c>
    </row>
    <row r="218" spans="1:13" x14ac:dyDescent="0.3">
      <c r="A218" s="17"/>
      <c r="B218" s="18"/>
      <c r="C218" s="18"/>
      <c r="D218" s="18"/>
      <c r="E218" s="18"/>
      <c r="F218" s="19"/>
      <c r="G218" s="18"/>
      <c r="H218" s="18"/>
      <c r="I218" s="18"/>
      <c r="J218" s="18"/>
      <c r="K218" s="18"/>
      <c r="L218" s="18"/>
      <c r="M218" s="18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LANGE_DUUR</vt:lpstr>
      <vt:lpstr>KORTE_DUUR</vt:lpstr>
      <vt:lpstr>KORTE_DUUR_validatie(kan weg)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Tollenaar</dc:creator>
  <cp:lastModifiedBy>Daniel Tollenaar</cp:lastModifiedBy>
  <dcterms:created xsi:type="dcterms:W3CDTF">2018-10-15T08:29:01Z</dcterms:created>
  <dcterms:modified xsi:type="dcterms:W3CDTF">2018-12-28T21:58:19Z</dcterms:modified>
</cp:coreProperties>
</file>